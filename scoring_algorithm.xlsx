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 Algorithm" sheetId="1" state="visible" r:id="rId3"/>
    <sheet name="Source Tiers" sheetId="2" state="visible" r:id="rId4"/>
    <sheet name="Today's Articl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<sst xmlns="http://schemas.openxmlformats.org/spreadsheetml/2006/main" count="1023" uniqueCount="511">
  <si>
    <t xml:space="preserve">Christian Curator — Scoring Algorithm v1.0</t>
  </si>
  <si>
    <t xml:space="preserve">This document defines how articles are ranked each morning. Edit and iterate to improve results.</t>
  </si>
  <si>
    <t xml:space="preserve">FINAL SCORE FORMULA</t>
  </si>
  <si>
    <t xml:space="preserve">Final Score  =</t>
  </si>
  <si>
    <t xml:space="preserve">(AI Content Score</t>
  </si>
  <si>
    <t xml:space="preserve">× Source Tier Multiplier)</t>
  </si>
  <si>
    <t xml:space="preserve">+ Recency Boost</t>
  </si>
  <si>
    <t xml:space="preserve">+ Hidden Gem Bonus</t>
  </si>
  <si>
    <t xml:space="preserve">− Source Diversity Penalty</t>
  </si>
  <si>
    <t xml:space="preserve">− Content Type Penalty</t>
  </si>
  <si>
    <t xml:space="preserve">  (capped at 10.0)</t>
  </si>
  <si>
    <t xml:space="preserve">1. AI CONTENT SCORE  (1–10)</t>
  </si>
  <si>
    <t xml:space="preserve">Dimension</t>
  </si>
  <si>
    <t xml:space="preserve">Weight</t>
  </si>
  <si>
    <t xml:space="preserve">Definition &amp; Scoring Guidance</t>
  </si>
  <si>
    <t xml:space="preserve">Theological depth</t>
  </si>
  <si>
    <t xml:space="preserve">30%</t>
  </si>
  <si>
    <t xml:space="preserve">Does the article engage seriously with Scripture, doctrine, or Christian thought? A 10 would be a rigorous theological essay citing primary sources. A 1 would be a listicle or generic inspiration piece.</t>
  </si>
  <si>
    <t xml:space="preserve">Practical relevance</t>
  </si>
  <si>
    <t xml:space="preserve">25%</t>
  </si>
  <si>
    <t xml:space="preserve">Will a typical curious Christian find this useful for their faith, work, relationships, or church? High scores for content that bridges theology and daily life. Low scores for academic-only content.</t>
  </si>
  <si>
    <t xml:space="preserve">Writing quality &amp; depth</t>
  </si>
  <si>
    <t xml:space="preserve">20%</t>
  </si>
  <si>
    <t xml:space="preserve">Is this substantive long-form writing (1,000+ words with argument/structure) or a brief news item? Penalize podcast episode descriptions, radio recaps, and promotional announcements.</t>
  </si>
  <si>
    <t xml:space="preserve">Timeliness &amp; newsworthiness</t>
  </si>
  <si>
    <t xml:space="preserve">15%</t>
  </si>
  <si>
    <t xml:space="preserve">Is this responding to a current event, cultural moment, or ongoing conversation in the church? Evergreen content can still score well but breaking news with Christian relevance gets a small boost here.</t>
  </si>
  <si>
    <t xml:space="preserve">Uniqueness of perspective</t>
  </si>
  <si>
    <t xml:space="preserve">10%</t>
  </si>
  <si>
    <t xml:space="preserve">Does this offer a distinctive angle, counterintuitive argument, or underrepresented voice? Flag if this is the 5th article this week on the same topic — lower score for redundancy.</t>
  </si>
  <si>
    <t xml:space="preserve">2. SOURCE TIER MULTIPLIER</t>
  </si>
  <si>
    <t xml:space="preserve">Tier</t>
  </si>
  <si>
    <t xml:space="preserve">Multiplier</t>
  </si>
  <si>
    <t xml:space="preserve">Definition</t>
  </si>
  <si>
    <t xml:space="preserve">Tier 1 — Flagship</t>
  </si>
  <si>
    <t xml:space="preserve">1.20×</t>
  </si>
  <si>
    <t xml:space="preserve">Top evangelical publications with editorial standards, theological consistency, and wide readership. Examples: TGC, Christianity Today, Desiring God, Ligonier, First Things, 9Marks, Crossway, Mere Orthodoxy.</t>
  </si>
  <si>
    <t xml:space="preserve">Tier 2 — Established</t>
  </si>
  <si>
    <t xml:space="preserve">1.05×</t>
  </si>
  <si>
    <t xml:space="preserve">Solid, reputable outlets with a proven track record but narrower audience or slightly lower editorial bar. Examples: World Magazine, Relevant, American Reformer, Reformation21.</t>
  </si>
  <si>
    <t xml:space="preserve">Tier 3 — Independent Author</t>
  </si>
  <si>
    <t xml:space="preserve">1.00×</t>
  </si>
  <si>
    <t xml:space="preserve">Individual writers with Substacks or personal blogs. Quality varies widely — this is where the Hidden Gem Bonus (see below) can elevate an article that matches Tier 1 quality despite its independent status.</t>
  </si>
  <si>
    <t xml:space="preserve">Tier 4 — World News</t>
  </si>
  <si>
    <t xml:space="preserve">0.85×</t>
  </si>
  <si>
    <t xml:space="preserve">Mainstream secular outlets (BBC, NYT, Guardian, AP, Washington Post). Useful for Christian-relevant news but already filtered for evangelical relevance before scoring. Lower baseline since the Christian angle is incidental rather than central.</t>
  </si>
  <si>
    <t xml:space="preserve">3. RECENCY BOOST</t>
  </si>
  <si>
    <t xml:space="preserve">Age of Article</t>
  </si>
  <si>
    <t xml:space="preserve">Boost</t>
  </si>
  <si>
    <t xml:space="preserve">Rationale</t>
  </si>
  <si>
    <t xml:space="preserve">Within 24 hours</t>
  </si>
  <si>
    <t xml:space="preserve">+1.5</t>
  </si>
  <si>
    <t xml:space="preserve">Breaking and very fresh — prioritize for daily digest.</t>
  </si>
  <si>
    <t xml:space="preserve">Within 48 hours</t>
  </si>
  <si>
    <t xml:space="preserve">+0.75</t>
  </si>
  <si>
    <t xml:space="preserve">Still very current.</t>
  </si>
  <si>
    <t xml:space="preserve">Within 72 hours</t>
  </si>
  <si>
    <t xml:space="preserve">+0.25</t>
  </si>
  <si>
    <t xml:space="preserve">Recent but not brand new.</t>
  </si>
  <si>
    <t xml:space="preserve">Older than 72 hours</t>
  </si>
  <si>
    <t xml:space="preserve">+0.0</t>
  </si>
  <si>
    <t xml:space="preserve">No boost — must earn its rank on content quality alone.</t>
  </si>
  <si>
    <t xml:space="preserve">4. HIDDEN GEM BONUS</t>
  </si>
  <si>
    <t xml:space="preserve">Condition</t>
  </si>
  <si>
    <t xml:space="preserve">Bonus</t>
  </si>
  <si>
    <t xml:space="preserve">Tier 3 source + AI score ≥ 8</t>
  </si>
  <si>
    <t xml:space="preserve">+1.0</t>
  </si>
  <si>
    <t xml:space="preserve">An independent author (Substack/blog) whose content matches the quality and depth of a Tier 1 publication. This surfaces hidden gems to readers — writers who aren't famous yet but should be. Example: A Samuel James or Alan Jacobs post that reads like a TGC feature gets the full bonus.</t>
  </si>
  <si>
    <t xml:space="preserve">Tier 3 source + AI score 6–7</t>
  </si>
  <si>
    <t xml:space="preserve">+0.4</t>
  </si>
  <si>
    <t xml:space="preserve">Independent author with above-average content — worth surfacing even if not exceptional.</t>
  </si>
  <si>
    <t xml:space="preserve">5. SOURCE DIVERSITY PENALTY</t>
  </si>
  <si>
    <t xml:space="preserve">Occurrence from same source</t>
  </si>
  <si>
    <t xml:space="preserve">Penalty</t>
  </si>
  <si>
    <t xml:space="preserve">1st article</t>
  </si>
  <si>
    <t xml:space="preserve">−0.0</t>
  </si>
  <si>
    <t xml:space="preserve">No penalty. Best article from each source always gets through.</t>
  </si>
  <si>
    <t xml:space="preserve">2nd article</t>
  </si>
  <si>
    <t xml:space="preserve">−0.75</t>
  </si>
  <si>
    <t xml:space="preserve">Slight penalty to favor variety.</t>
  </si>
  <si>
    <t xml:space="preserve">3rd article</t>
  </si>
  <si>
    <t xml:space="preserve">−1.50</t>
  </si>
  <si>
    <t xml:space="preserve">Significant penalty.</t>
  </si>
  <si>
    <t xml:space="preserve">4th article</t>
  </si>
  <si>
    <t xml:space="preserve">−2.25</t>
  </si>
  <si>
    <t xml:space="preserve">Strong penalty.</t>
  </si>
  <si>
    <t xml:space="preserve">5th article</t>
  </si>
  <si>
    <t xml:space="preserve">−3.00</t>
  </si>
  <si>
    <t xml:space="preserve">Near-suppression.</t>
  </si>
  <si>
    <t xml:space="preserve">6th+ article</t>
  </si>
  <si>
    <t xml:space="preserve">Dropped</t>
  </si>
  <si>
    <t xml:space="preserve">Hard cap. No more than 5 articles per source per day.</t>
  </si>
  <si>
    <t xml:space="preserve">6. CONTENT TYPE PENALTY</t>
  </si>
  <si>
    <t xml:space="preserve">Content Type</t>
  </si>
  <si>
    <t xml:space="preserve">Podcast episode description</t>
  </si>
  <si>
    <t xml:space="preserve">−2.0</t>
  </si>
  <si>
    <t xml:space="preserve">Articles that are just descriptions of podcast episodes (e.g., 'Episode 791: Why Church Dating Advice...'). These are promotional, not editorial, and rarely add value to a reading digest.</t>
  </si>
  <si>
    <t xml:space="preserve">Radio/news recap</t>
  </si>
  <si>
    <t xml:space="preserve">−1.5</t>
  </si>
  <si>
    <t xml:space="preserve">Recaps of radio broadcasts or daily news roundups (e.g., 'WORLD Radio News: 3-16-26'). These are audio content dressed as articles.</t>
  </si>
  <si>
    <t xml:space="preserve">Promotional announcement</t>
  </si>
  <si>
    <t xml:space="preserve">Event announcements, course promotions, conference clickbait. Example: 'Take My Six-Week Online Graduate Course...' — promotional, not editorial.</t>
  </si>
  <si>
    <t xml:space="preserve">Standard article / essay</t>
  </si>
  <si>
    <t xml:space="preserve">0.0</t>
  </si>
  <si>
    <t xml:space="preserve">No penalty. The default content type.</t>
  </si>
  <si>
    <t xml:space="preserve">Long-form essay (1,500+ words)</t>
  </si>
  <si>
    <t xml:space="preserve">+0.5</t>
  </si>
  <si>
    <t xml:space="preserve">Reward for substantive long-form writing (future enhancement).</t>
  </si>
  <si>
    <t xml:space="preserve">7. TOPIC DEDUPLICATION &amp; OPPOSING VIEWS</t>
  </si>
  <si>
    <t xml:space="preserve">Effect</t>
  </si>
  <si>
    <t xml:space="preserve">Same topic + same perspective
(2nd, 3rd article)</t>
  </si>
  <si>
    <t xml:space="preserve">−3.0</t>
  </si>
  <si>
    <t xml:space="preserve">If two articles cover the same news event or topic from the same angle, only the highest-scoring one is surfaced. The rest receive a −3.0 penalty. Example: Three articles all reporting John Perkins' death → keep the best one only.</t>
  </si>
  <si>
    <t xml:space="preserve">Same topic + opposing perspectives
(supportive vs. critical)</t>
  </si>
  <si>
    <t xml:space="preserve">+1.0 each</t>
  </si>
  <si>
    <t xml:space="preserve">If two articles cover the same topic but take opposing sides (one supportive, one critical), BOTH are boosted by +1.0 and surfaced as a natural Point/Counterpoint pair. Example: One article praising a church trend, another raising concerns → both get boosted.</t>
  </si>
  <si>
    <t xml:space="preserve">8. PERSON-SPECIFIC NEWS SCORING GUIDANCE</t>
  </si>
  <si>
    <t xml:space="preserve">Obituary / death announcement</t>
  </si>
  <si>
    <t xml:space="preserve">Score ≤ 3</t>
  </si>
  <si>
    <t xml:space="preserve">News about a specific person dying should score 3 or below unless the article draws broad theological lessons from their life. 'John Perkins Dies at 95' = score 3 max. 'What John Perkins Taught Us About Reconciliation' = score normally.</t>
  </si>
  <si>
    <t xml:space="preserve">Appointment / award / biography</t>
  </si>
  <si>
    <t xml:space="preserve">Articles primarily about a person receiving an award, being appointed to a role, or profiling their biography score low on practical relevance and theological depth. The news is about the individual, not actionable for readers.</t>
  </si>
  <si>
    <t xml:space="preserve">9. RECENCY PENALTIES (OLD ARTICLES)</t>
  </si>
  <si>
    <t xml:space="preserve">0–72 hours</t>
  </si>
  <si>
    <t xml:space="preserve">+0.25 to +1.5</t>
  </si>
  <si>
    <t xml:space="preserve">Recency BOOST (see Rule 3). Articles within 72h are rewarded for freshness.</t>
  </si>
  <si>
    <t xml:space="preserve">3–7 days</t>
  </si>
  <si>
    <t xml:space="preserve">Article is showing its age. Still potentially useful but deprioritised. Will rarely surface unless content score is very high.</t>
  </si>
  <si>
    <t xml:space="preserve">7–14 days</t>
  </si>
  <si>
    <t xml:space="preserve">−4.0</t>
  </si>
  <si>
    <t xml:space="preserve">Significant staleness penalty. Article would need a 9+ AI score to break into the top 10 after this penalty.</t>
  </si>
  <si>
    <t xml:space="preserve">14–30 days</t>
  </si>
  <si>
    <t xml:space="preserve">−6.0</t>
  </si>
  <si>
    <t xml:space="preserve">Near-suppression. Only extraordinary content (score 10) would survive. Effectively excluded from the digest.</t>
  </si>
  <si>
    <t xml:space="preserve">30+ days</t>
  </si>
  <si>
    <t xml:space="preserve">HARD DROP</t>
  </si>
  <si>
    <t xml:space="preserve">Hard cutoff. Articles older than 30 days are excluded entirely from the pipeline before scoring. This prevents evergreen/undated RSS content from recycling indefinitely.</t>
  </si>
  <si>
    <t xml:space="preserve">Note: The hard 30-day cutoff was added after a 2021 Jen Wilkin article and a 2011 9Marks article appeared in the digest. RSS feeds sometimes surface evergreen posts; this cutoff prevents them from recycling.</t>
  </si>
  <si>
    <t xml:space="preserve">Christian Curator — Source Tier Classifications</t>
  </si>
  <si>
    <t xml:space="preserve">Assign each source a tier and multiplier. Add notes to explain editorial judgments.</t>
  </si>
  <si>
    <t xml:space="preserve">Source Name</t>
  </si>
  <si>
    <t xml:space="preserve">Source Type</t>
  </si>
  <si>
    <t xml:space="preserve">Editorial Notes</t>
  </si>
  <si>
    <t xml:space="preserve">The Gospel Coalition</t>
  </si>
  <si>
    <t xml:space="preserve">Tier 1A</t>
  </si>
  <si>
    <t xml:space="preserve">1.30×</t>
  </si>
  <si>
    <t xml:space="preserve">Christian</t>
  </si>
  <si>
    <t xml:space="preserve">Premier Reformed evangelical outlet. Elevated to 1.3x for editorial excellence and wide readership.</t>
  </si>
  <si>
    <t xml:space="preserve">Desiring God</t>
  </si>
  <si>
    <t xml:space="preserve">John Piper's ministry. Deeply theological and devotional. Elevated to 1.3x.</t>
  </si>
  <si>
    <t xml:space="preserve">Ligonier Ministries</t>
  </si>
  <si>
    <t xml:space="preserve">R.C. Sproul's legacy. Reformed theology, serious biblical exposition. Elevated to 1.3x.</t>
  </si>
  <si>
    <t xml:space="preserve">9Marks</t>
  </si>
  <si>
    <t xml:space="preserve">Church health and polity. Deeply practical for pastors. Elevated to 1.3x.</t>
  </si>
  <si>
    <t xml:space="preserve">Christianity Today</t>
  </si>
  <si>
    <t xml:space="preserve">Tier 1</t>
  </si>
  <si>
    <t xml:space="preserve">Flagship evangelical magazine. Broad evangelical coverage, strong long-form.</t>
  </si>
  <si>
    <t xml:space="preserve">First Things</t>
  </si>
  <si>
    <t xml:space="preserve">Premier journal of religion and public life. High literary and theological quality.</t>
  </si>
  <si>
    <t xml:space="preserve">Crossway</t>
  </si>
  <si>
    <t xml:space="preserve">Publisher blog. Theological depth, features leading evangelical authors.</t>
  </si>
  <si>
    <t xml:space="preserve">Mere Orthodoxy</t>
  </si>
  <si>
    <t xml:space="preserve">Thoughtful, intellectually serious. Best independent evangelical outlet online.</t>
  </si>
  <si>
    <t xml:space="preserve">American Reformer</t>
  </si>
  <si>
    <t xml:space="preserve">Elevated to Tier 1. Strong Reformed cultural commentary with consistent editorial quality.</t>
  </si>
  <si>
    <t xml:space="preserve">World Magazine</t>
  </si>
  <si>
    <t xml:space="preserve">Tier 2</t>
  </si>
  <si>
    <t xml:space="preserve">Strong Reformed news reporting. Trustworthy, consistent.</t>
  </si>
  <si>
    <t xml:space="preserve">Relevant Magazine</t>
  </si>
  <si>
    <t xml:space="preserve">Younger evangelical audience. Culture-focused. Good for seeker and student personas.</t>
  </si>
  <si>
    <t xml:space="preserve">Reformation21</t>
  </si>
  <si>
    <t xml:space="preserve">Alliance of Confessing Evangelicals. Solid Reformed theology.</t>
  </si>
  <si>
    <t xml:space="preserve">Jen Wilkin</t>
  </si>
  <si>
    <t xml:space="preserve">Author Substack</t>
  </si>
  <si>
    <t xml:space="preserve">Elevated to Tier 2. Bible teacher and author with consistently high-quality content.</t>
  </si>
  <si>
    <t xml:space="preserve">Kyle Worley</t>
  </si>
  <si>
    <t xml:space="preserve">Elevated to Tier 2. Pastor/theologian with theologically solid, pastoral writing.</t>
  </si>
  <si>
    <t xml:space="preserve">Karen Swallow Prior</t>
  </si>
  <si>
    <t xml:space="preserve">Tier 3</t>
  </si>
  <si>
    <t xml:space="preserve">English professor. Literary and theological intersection. Hidden gem potential.</t>
  </si>
  <si>
    <t xml:space="preserve">Tish Harrison Warren</t>
  </si>
  <si>
    <t xml:space="preserve">Anglican priest, NYT contributor. Thoughtful and liturgical. Hidden gem potential.</t>
  </si>
  <si>
    <t xml:space="preserve">Jake Meador (Mere Orthodoxy)</t>
  </si>
  <si>
    <t xml:space="preserve">Editor of Mere Orthodoxy. Excellent writer — apply hidden gem bonus liberally.</t>
  </si>
  <si>
    <t xml:space="preserve">Samuel James</t>
  </si>
  <si>
    <t xml:space="preserve">Christianity Today staff. Culture, technology, church. High hidden gem potential.</t>
  </si>
  <si>
    <t xml:space="preserve">Alan Jacobs</t>
  </si>
  <si>
    <t xml:space="preserve">Baylor professor. Literary and theological. Consistently Tier 1 quality.</t>
  </si>
  <si>
    <t xml:space="preserve">Carey Nieuwhof</t>
  </si>
  <si>
    <t xml:space="preserve">Church leadership. Practical, pastoral. Watch for promotional content.</t>
  </si>
  <si>
    <t xml:space="preserve">BBC Religion</t>
  </si>
  <si>
    <t xml:space="preserve">Tier 4A</t>
  </si>
  <si>
    <t xml:space="preserve">0.90×</t>
  </si>
  <si>
    <t xml:space="preserve">World News</t>
  </si>
  <si>
    <t xml:space="preserve">Solid religion reporting. Use for major news stories touching Christianity.</t>
  </si>
  <si>
    <t xml:space="preserve">The New York Times</t>
  </si>
  <si>
    <t xml:space="preserve">High-quality journalism but secular lens. Religion coverage inconsistent.</t>
  </si>
  <si>
    <t xml:space="preserve">The Guardian</t>
  </si>
  <si>
    <t xml:space="preserve">Tier 4B</t>
  </si>
  <si>
    <t xml:space="preserve">0.80×</t>
  </si>
  <si>
    <t xml:space="preserve">Left-leaning. Religion coverage often critical. Useful for cultural context.</t>
  </si>
  <si>
    <t xml:space="preserve">Associated Press</t>
  </si>
  <si>
    <t xml:space="preserve">Wire service. Factual, neutral. Good for breaking news with Christian angle.</t>
  </si>
  <si>
    <t xml:space="preserve">Washington Post</t>
  </si>
  <si>
    <t xml:space="preserve">Quality journalism, secular perspective. Monitor for major religion stories.</t>
  </si>
  <si>
    <t xml:space="preserve">Associated Press Religion</t>
  </si>
  <si>
    <t xml:space="preserve">AP Religion feed — same wire quality as AP Top News. Focused on religion stories with a Christian angle.</t>
  </si>
  <si>
    <t xml:space="preserve">BBC News</t>
  </si>
  <si>
    <t xml:space="preserve">BBC World News feed. High-quality international journalism. 0.90x tier for factual, non-perspective-driven reporting.</t>
  </si>
  <si>
    <t xml:space="preserve">The New York Times Religion</t>
  </si>
  <si>
    <t xml:space="preserve">NYT Religion section — more focused than the general World feed. Useful for major religion stories.</t>
  </si>
  <si>
    <t xml:space="preserve">Wall Street Journal</t>
  </si>
  <si>
    <t xml:space="preserve">WSJ World News. Elevated above Guardian/WaPo for fact-first reporting quality. Less religion-specific but strong for major world events.</t>
  </si>
  <si>
    <t xml:space="preserve">Christian Curator — Today's Articles &amp; Scores  (March 19, 2026)</t>
  </si>
  <si>
    <t xml:space="preserve">Articles are sorted by final_score. Flags: ★ = recency boost  |  🔁 = previously shown  |  ⊘ = duplicate suppressed  |  🏛 = Catholic cap  |  🔼 = independent floor boost</t>
  </si>
  <si>
    <t xml:space="preserve">Rank</t>
  </si>
  <si>
    <t xml:space="preserve">Final Score</t>
  </si>
  <si>
    <t xml:space="preserve">AI Score</t>
  </si>
  <si>
    <t xml:space="preserve">Source</t>
  </si>
  <si>
    <t xml:space="preserve">Author</t>
  </si>
  <si>
    <t xml:space="preserve">Type</t>
  </si>
  <si>
    <t xml:space="preserve">Recency</t>
  </si>
  <si>
    <t xml:space="preserve">Tags</t>
  </si>
  <si>
    <t xml:space="preserve">Topic Cluster</t>
  </si>
  <si>
    <t xml:space="preserve">Perspective</t>
  </si>
  <si>
    <t xml:space="preserve">Published</t>
  </si>
  <si>
    <t xml:space="preserve">Flags</t>
  </si>
  <si>
    <t xml:space="preserve">Title</t>
  </si>
  <si>
    <t xml:space="preserve">Courtney Doctor, Melissa Kruger, Michael J. Kruger</t>
  </si>
  <si>
    <t xml:space="preserve">christian</t>
  </si>
  <si>
    <t xml:space="preserve">theology, apologetics, devotional</t>
  </si>
  <si>
    <t xml:space="preserve">resurrection_apologetics</t>
  </si>
  <si>
    <t xml:space="preserve">supportive</t>
  </si>
  <si>
    <t xml:space="preserve">Thu 19 Mar</t>
  </si>
  <si>
    <t xml:space="preserve">Why Christians Can Trust the Resurrection's Historical Reality</t>
  </si>
  <si>
    <t xml:space="preserve">Elise Brandon</t>
  </si>
  <si>
    <t xml:space="preserve">theology, culture, church life</t>
  </si>
  <si>
    <t xml:space="preserve">john_perkins_legacy</t>
  </si>
  <si>
    <t xml:space="preserve">neutral</t>
  </si>
  <si>
    <t xml:space="preserve">Wed 18 Mar</t>
  </si>
  <si>
    <t xml:space="preserve">John Perkins: A Courageous Voice for Justice and Reconciliation</t>
  </si>
  <si>
    <t xml:space="preserve">Emily Brown</t>
  </si>
  <si>
    <t xml:space="preserve">theology, family</t>
  </si>
  <si>
    <t xml:space="preserve">christian_purity_culture</t>
  </si>
  <si>
    <t xml:space="preserve">critical</t>
  </si>
  <si>
    <t xml:space="preserve">Church Leaders Reconsider Approach to Purity Teaching</t>
  </si>
  <si>
    <t xml:space="preserve">German Saucedo</t>
  </si>
  <si>
    <t xml:space="preserve">theology, culture</t>
  </si>
  <si>
    <t xml:space="preserve">cultural_dehumanization</t>
  </si>
  <si>
    <t xml:space="preserve">Faith and History: What Rome Teaches Modern Christians</t>
  </si>
  <si>
    <t xml:space="preserve">John F. Hanna</t>
  </si>
  <si>
    <t xml:space="preserve">theology, culture, apologetics</t>
  </si>
  <si>
    <t xml:space="preserve">sexual_ethics_culture</t>
  </si>
  <si>
    <t xml:space="preserve">The Sexual Revolution's Unfulfilled Promises: A Christian Perspective</t>
  </si>
  <si>
    <t xml:space="preserve">Joshua Parcha</t>
  </si>
  <si>
    <t xml:space="preserve">theology, politics</t>
  </si>
  <si>
    <t xml:space="preserve">politics_morality_overlap</t>
  </si>
  <si>
    <t xml:space="preserve">Tue 17 Mar</t>
  </si>
  <si>
    <t xml:space="preserve">Faith and Politics: Can They Align With Christian Values?</t>
  </si>
  <si>
    <t xml:space="preserve">Angela Fulton</t>
  </si>
  <si>
    <t xml:space="preserve">missions, theology, church life</t>
  </si>
  <si>
    <t xml:space="preserve">bible_translation_india</t>
  </si>
  <si>
    <t xml:space="preserve">Mon 16 Mar</t>
  </si>
  <si>
    <t xml:space="preserve">Bible Now Available in India's Hadoti Language</t>
  </si>
  <si>
    <t xml:space="preserve">Timothy Paul Jones</t>
  </si>
  <si>
    <t xml:space="preserve">theology, apologetics</t>
  </si>
  <si>
    <t xml:space="preserve">faith_and_doubt</t>
  </si>
  <si>
    <t xml:space="preserve">★ Independent</t>
  </si>
  <si>
    <t xml:space="preserve">Following Jesus Requires Trusting in God's Word</t>
  </si>
  <si>
    <t xml:space="preserve">Taylor Combs</t>
  </si>
  <si>
    <t xml:space="preserve">theology, family, devotional</t>
  </si>
  <si>
    <t xml:space="preserve">emotional_health_parenting</t>
  </si>
  <si>
    <t xml:space="preserve">When Emotional Validation Becomes Unloving</t>
  </si>
  <si>
    <t xml:space="preserve">Jillian Parks</t>
  </si>
  <si>
    <t xml:space="preserve">wittgenstein_philosophy</t>
  </si>
  <si>
    <t xml:space="preserve">Wittgenstein's Faith: Lessons for the Christian Life</t>
  </si>
  <si>
    <t xml:space="preserve">Keegan Martin</t>
  </si>
  <si>
    <t xml:space="preserve">news, politics</t>
  </si>
  <si>
    <t xml:space="preserve">homeschool_notification_law</t>
  </si>
  <si>
    <t xml:space="preserve">Church Leadership Debates Accountability and Governance Standards</t>
  </si>
  <si>
    <t xml:space="preserve">Sharonda Cooper</t>
  </si>
  <si>
    <t xml:space="preserve">family, devotional, theology</t>
  </si>
  <si>
    <t xml:space="preserve">parenting_expectations</t>
  </si>
  <si>
    <t xml:space="preserve">Parenting Faith: Accepting Your Children's Different Path</t>
  </si>
  <si>
    <t xml:space="preserve">Scot McKnight</t>
  </si>
  <si>
    <t xml:space="preserve">theology, devotional</t>
  </si>
  <si>
    <t xml:space="preserve">atonement_theology</t>
  </si>
  <si>
    <t xml:space="preserve">Holiness, Purity, and Atonement: Biblical Foundations</t>
  </si>
  <si>
    <t xml:space="preserve">Kristy Etheridge</t>
  </si>
  <si>
    <t xml:space="preserve">culture, apologetics, politics</t>
  </si>
  <si>
    <t xml:space="preserve">unique</t>
  </si>
  <si>
    <t xml:space="preserve">Criticizing Evangelicals Won't Effectively Counter Conspiracy Theories</t>
  </si>
  <si>
    <t xml:space="preserve">family, devotional</t>
  </si>
  <si>
    <t xml:space="preserve">divorce_ripple_effect_study</t>
  </si>
  <si>
    <t xml:space="preserve">Friend's Divorce: How It May Impact Your Own Marriage</t>
  </si>
  <si>
    <t xml:space="preserve">O. Alan Noble</t>
  </si>
  <si>
    <t xml:space="preserve">culture, church life</t>
  </si>
  <si>
    <t xml:space="preserve">church_attendance_mental_health</t>
  </si>
  <si>
    <t xml:space="preserve">news</t>
  </si>
  <si>
    <t xml:space="preserve">Church Attendance and Mental Health: What Research Shows</t>
  </si>
  <si>
    <t xml:space="preserve">Ryan Burge</t>
  </si>
  <si>
    <t xml:space="preserve">politics, culture</t>
  </si>
  <si>
    <t xml:space="preserve">christian_voting_priorities</t>
  </si>
  <si>
    <t xml:space="preserve">Christians Weigh Key Issues: Abortion and Immigration</t>
  </si>
  <si>
    <t xml:space="preserve">culture, apologetics</t>
  </si>
  <si>
    <t xml:space="preserve">parasocial_relationships_digital</t>
  </si>
  <si>
    <t xml:space="preserve">How Social Media Fosters False Intimacy With Public Figures</t>
  </si>
  <si>
    <t xml:space="preserve">Greg Morse</t>
  </si>
  <si>
    <t xml:space="preserve">theology, church life</t>
  </si>
  <si>
    <t xml:space="preserve">church_social_impact</t>
  </si>
  <si>
    <t xml:space="preserve">Sat 14 Mar</t>
  </si>
  <si>
    <t xml:space="preserve">Churches of Faith: Catalysts for Urban Renewal</t>
  </si>
  <si>
    <t xml:space="preserve">government_fraud</t>
  </si>
  <si>
    <t xml:space="preserve">Church Leaders Address Accountability in Major Financial Scandal</t>
  </si>
  <si>
    <t xml:space="preserve">Patrick Ramsey</t>
  </si>
  <si>
    <t xml:space="preserve">theology</t>
  </si>
  <si>
    <t xml:space="preserve">reformed_doctrine</t>
  </si>
  <si>
    <t xml:space="preserve">Understanding 'Same in Substance, Different in Administration'</t>
  </si>
  <si>
    <t xml:space="preserve">Haleluya Hadero</t>
  </si>
  <si>
    <t xml:space="preserve">news, politics, suffering</t>
  </si>
  <si>
    <t xml:space="preserve">iran_war_middle_east</t>
  </si>
  <si>
    <t xml:space="preserve">Faith Communities Navigate New Religious Freedom Challenges</t>
  </si>
  <si>
    <t xml:space="preserve">Amelia Nierenberg</t>
  </si>
  <si>
    <t xml:space="preserve">world_news</t>
  </si>
  <si>
    <t xml:space="preserve">culture, politics</t>
  </si>
  <si>
    <t xml:space="preserve">abortion_policy_europe</t>
  </si>
  <si>
    <t xml:space="preserve">Faroe Islands Consider Easing Europe's Strictest Abortion Restrictions</t>
  </si>
  <si>
    <t xml:space="preserve">Scott Yenor</t>
  </si>
  <si>
    <t xml:space="preserve">culture, family</t>
  </si>
  <si>
    <t xml:space="preserve">feminism_womanhood</t>
  </si>
  <si>
    <t xml:space="preserve">Women's Faith and Purpose Beyond Modern Feminism</t>
  </si>
  <si>
    <t xml:space="preserve">augustine_paganism</t>
  </si>
  <si>
    <t xml:space="preserve">Augustine's Critique of Pagan Religion and Classical Idolatry</t>
  </si>
  <si>
    <t xml:space="preserve">Matthew Lee Anderson</t>
  </si>
  <si>
    <t xml:space="preserve">theology, prayer</t>
  </si>
  <si>
    <t xml:space="preserve">lords_prayer</t>
  </si>
  <si>
    <t xml:space="preserve">The Sixth Petition's Paradox: Lead Us Not Into Temptation</t>
  </si>
  <si>
    <t xml:space="preserve">Joel Kurz</t>
  </si>
  <si>
    <t xml:space="preserve">prayer, devotional</t>
  </si>
  <si>
    <t xml:space="preserve">psalm_prayer_devotion</t>
  </si>
  <si>
    <t xml:space="preserve">Fri 13 Mar</t>
  </si>
  <si>
    <t xml:space="preserve">Praying Psalm 130: Finding Hope in Depths of Despair</t>
  </si>
  <si>
    <t xml:space="preserve">Ellen Hayes</t>
  </si>
  <si>
    <t xml:space="preserve">devotional, theology</t>
  </si>
  <si>
    <t xml:space="preserve">bible_engagement</t>
  </si>
  <si>
    <t xml:space="preserve">David Platt Shares Four Practical Ways to Reconnect With Scripture</t>
  </si>
  <si>
    <t xml:space="preserve">paul_historical_questions</t>
  </si>
  <si>
    <t xml:space="preserve">Did Jesus Rise from the Dead? What the Evidence Shows</t>
  </si>
  <si>
    <t xml:space="preserve">hbwilt</t>
  </si>
  <si>
    <t xml:space="preserve">politics, culture, devotional</t>
  </si>
  <si>
    <t xml:space="preserve">What Loving South Africa Taught Me About Christian Patriotism</t>
  </si>
  <si>
    <t xml:space="preserve">american_christianity_trends</t>
  </si>
  <si>
    <t xml:space="preserve">Church Traditions: Finding Spiritual Meaning Beyond Nostalgia</t>
  </si>
  <si>
    <t xml:space="preserve">Phylicia Masonheimer</t>
  </si>
  <si>
    <t xml:space="preserve">devotional, prayer</t>
  </si>
  <si>
    <t xml:space="preserve">spiritual_growth_practices</t>
  </si>
  <si>
    <t xml:space="preserve">The Freedom Found in Releasing the Past</t>
  </si>
  <si>
    <t xml:space="preserve">israel_iran_conflict</t>
  </si>
  <si>
    <t xml:space="preserve">Daily Christian News Brief: March 19, 2026</t>
  </si>
  <si>
    <t xml:space="preserve">election_doctrine</t>
  </si>
  <si>
    <t xml:space="preserve">🔁 Prev shown</t>
  </si>
  <si>
    <t xml:space="preserve">God's Sovereign Choice: Understanding Election Through Divine Love</t>
  </si>
  <si>
    <t xml:space="preserve">Casey Spinks</t>
  </si>
  <si>
    <t xml:space="preserve">kierkegaard_philosophy</t>
  </si>
  <si>
    <t xml:space="preserve">Kierkegaard's Understanding of Being and Existence</t>
  </si>
  <si>
    <t xml:space="preserve">Benjamin L. Gladd</t>
  </si>
  <si>
    <t xml:space="preserve">biblical_hermeneutics</t>
  </si>
  <si>
    <t xml:space="preserve">How Jesus Read and Understood Scripture</t>
  </si>
  <si>
    <t xml:space="preserve">motherhood_culture</t>
  </si>
  <si>
    <t xml:space="preserve">Motherhood Honored at the Academy Awards Ceremony</t>
  </si>
  <si>
    <t xml:space="preserve">Benjamin Mabry</t>
  </si>
  <si>
    <t xml:space="preserve">civility_discourse</t>
  </si>
  <si>
    <t xml:space="preserve">Thu 12 Mar</t>
  </si>
  <si>
    <t xml:space="preserve">Faith and Civility: Reconciling Kindness With Conviction</t>
  </si>
  <si>
    <t xml:space="preserve">Matthew Weaver</t>
  </si>
  <si>
    <t xml:space="preserve">politics, church life</t>
  </si>
  <si>
    <t xml:space="preserve">uk_religious_freedom</t>
  </si>
  <si>
    <t xml:space="preserve">UK Faith Leaders Call for Careful Reconsideration of Refugee Policy</t>
  </si>
  <si>
    <t xml:space="preserve">James Norris</t>
  </si>
  <si>
    <t xml:space="preserve">racism_church_reconciliation</t>
  </si>
  <si>
    <t xml:space="preserve">Addressing Racism: A Call for Christian Response and Healing</t>
  </si>
  <si>
    <t xml:space="preserve">Randall Merrill</t>
  </si>
  <si>
    <t xml:space="preserve">theology, missions</t>
  </si>
  <si>
    <t xml:space="preserve">church_mission_theology</t>
  </si>
  <si>
    <t xml:space="preserve">The Church's Global Mission: Understanding Acts 1:8</t>
  </si>
  <si>
    <t xml:space="preserve">James Wagner</t>
  </si>
  <si>
    <t xml:space="preserve">culture</t>
  </si>
  <si>
    <t xml:space="preserve">St. Patrick's Day Celebration Honors African Heritage</t>
  </si>
  <si>
    <t xml:space="preserve">medical_ethics_policy</t>
  </si>
  <si>
    <t xml:space="preserve">Alberta Proposes New Restrictions on Medical Assistance in Dying</t>
  </si>
  <si>
    <t xml:space="preserve">culture, devotional</t>
  </si>
  <si>
    <t xml:space="preserve">Saint Patrick's Day: Understanding Its Christian Origins</t>
  </si>
  <si>
    <t xml:space="preserve">Daniel K. Williams</t>
  </si>
  <si>
    <t xml:space="preserve">evangelical_identity_theology</t>
  </si>
  <si>
    <t xml:space="preserve">Mon 09 Mar</t>
  </si>
  <si>
    <t xml:space="preserve">Theological Distinctions: Evangelical and Mainline Protestant</t>
  </si>
  <si>
    <t xml:space="preserve">John W. Hoyum</t>
  </si>
  <si>
    <t xml:space="preserve">church life, culture</t>
  </si>
  <si>
    <t xml:space="preserve">church_society</t>
  </si>
  <si>
    <t xml:space="preserve">Pastors Address Economic Struggles of the Shrinking Middle Class</t>
  </si>
  <si>
    <t xml:space="preserve">devotional, suffering</t>
  </si>
  <si>
    <t xml:space="preserve">suffering_grace</t>
  </si>
  <si>
    <t xml:space="preserve">Tue 10 Mar</t>
  </si>
  <si>
    <t xml:space="preserve">Finding God's Grace Through Life's Deepest Pain</t>
  </si>
  <si>
    <t xml:space="preserve">Bonnie Kristian</t>
  </si>
  <si>
    <t xml:space="preserve">newsletter_roundup</t>
  </si>
  <si>
    <t xml:space="preserve">The Vanity Problem: What Christians Should Know About Beauty</t>
  </si>
  <si>
    <t xml:space="preserve">Laura Wifler</t>
  </si>
  <si>
    <t xml:space="preserve">devotional, church life</t>
  </si>
  <si>
    <t xml:space="preserve">friendship_community</t>
  </si>
  <si>
    <t xml:space="preserve">Faith Communities Find Strength in Fellowship</t>
  </si>
  <si>
    <t xml:space="preserve">Adam Carrington</t>
  </si>
  <si>
    <t xml:space="preserve">theology, news</t>
  </si>
  <si>
    <t xml:space="preserve">anglican_identity</t>
  </si>
  <si>
    <t xml:space="preserve">Global Anglicans Define Identity Through Abuja Affirmation</t>
  </si>
  <si>
    <t xml:space="preserve">literature_culture</t>
  </si>
  <si>
    <t xml:space="preserve">Reading 'The Catcher in the Rye': A Christian Guide</t>
  </si>
  <si>
    <t xml:space="preserve">church life, news</t>
  </si>
  <si>
    <t xml:space="preserve">mainline_protestant_decline</t>
  </si>
  <si>
    <t xml:space="preserve">Mainline Denomination Faces Declining Membership</t>
  </si>
  <si>
    <t xml:space="preserve">Nadya Williams</t>
  </si>
  <si>
    <t xml:space="preserve">Sat 07 Mar</t>
  </si>
  <si>
    <t xml:space="preserve">Stewarding Our Time: A Christian's Guide to Faithful Living</t>
  </si>
  <si>
    <t xml:space="preserve">David Mathis</t>
  </si>
  <si>
    <t xml:space="preserve">prayer, missions</t>
  </si>
  <si>
    <t xml:space="preserve">iran_crisis_prayer</t>
  </si>
  <si>
    <t xml:space="preserve">Thu 05 Mar</t>
  </si>
  <si>
    <t xml:space="preserve">Iran's Crisis: A Call to Prayer for Peace and Hope</t>
  </si>
  <si>
    <t xml:space="preserve">jennie_allen_podcast</t>
  </si>
  <si>
    <t xml:space="preserve">Jennie Allen on Persevering Through Suffering</t>
  </si>
  <si>
    <t xml:space="preserve">Chris Bolt</t>
  </si>
  <si>
    <t xml:space="preserve">theological_triage</t>
  </si>
  <si>
    <t xml:space="preserve">Wed 11 Mar</t>
  </si>
  <si>
    <t xml:space="preserve">Reconsidering Theological Triage: A Balanced Approach</t>
  </si>
  <si>
    <t xml:space="preserve">compassion_compromise_debate</t>
  </si>
  <si>
    <t xml:space="preserve">Faith's Quiet Power: A Testament to God's Strength</t>
  </si>
  <si>
    <t xml:space="preserve">middle_east_energy_crisis</t>
  </si>
  <si>
    <t xml:space="preserve">Energy Prices Surge Following Middle East Regional Tensions</t>
  </si>
  <si>
    <t xml:space="preserve">evangelical_theology_politics</t>
  </si>
  <si>
    <t xml:space="preserve">James Talarico's Christian Faith: Understanding His Progressive Theology</t>
  </si>
  <si>
    <t xml:space="preserve">devotional</t>
  </si>
  <si>
    <t xml:space="preserve">gullivers_travels_recap</t>
  </si>
  <si>
    <t xml:space="preserve">Christian Perspectives on Gulliver's Travels: Week Ten</t>
  </si>
  <si>
    <t xml:space="preserve">Bethel McGrew</t>
  </si>
  <si>
    <t xml:space="preserve">Five Essential Films for Christian Reflection</t>
  </si>
  <si>
    <t xml:space="preserve">Kate Shellnutt</t>
  </si>
  <si>
    <t xml:space="preserve">work</t>
  </si>
  <si>
    <t xml:space="preserve">writing_craft</t>
  </si>
  <si>
    <t xml:space="preserve">Finding Purpose: When God Calls You to Deeper Meaning</t>
  </si>
  <si>
    <t xml:space="preserve">Rosaria Butterfield</t>
  </si>
  <si>
    <t xml:space="preserve">family, church life</t>
  </si>
  <si>
    <t xml:space="preserve">family_estrangement_faith</t>
  </si>
  <si>
    <t xml:space="preserve">Adult Children's Estrangement From Parents: A Hidden Family Crisis</t>
  </si>
  <si>
    <t xml:space="preserve">Pakistan Airstrikes Strike Afghan Drug Clinic, Killing Civilians</t>
  </si>
  <si>
    <t xml:space="preserve">reading_habits_christian_life</t>
  </si>
  <si>
    <t xml:space="preserve">Read Everything</t>
  </si>
  <si>
    <t xml:space="preserve">Peter Biles</t>
  </si>
  <si>
    <t xml:space="preserve">grief_theology</t>
  </si>
  <si>
    <t xml:space="preserve">What Grief Can Teach Us About Faith and Hope</t>
  </si>
  <si>
    <t xml:space="preserve">family, culture</t>
  </si>
  <si>
    <t xml:space="preserve">childlessness_faith</t>
  </si>
  <si>
    <t xml:space="preserve">Fri 06 Mar</t>
  </si>
  <si>
    <t xml:space="preserve">Faith and Family: A Christian Guide to Life's Big Conversations</t>
  </si>
  <si>
    <t xml:space="preserve">Guardian Staff</t>
  </si>
  <si>
    <t xml:space="preserve">⊘ Duplicate</t>
  </si>
  <si>
    <t xml:space="preserve">Government Must Reconsider Settlement Policy Reforms</t>
  </si>
  <si>
    <t xml:space="preserve">Marshall Segal</t>
  </si>
  <si>
    <t xml:space="preserve">beatitudes_series</t>
  </si>
  <si>
    <t xml:space="preserve">Sun 15 Mar</t>
  </si>
  <si>
    <t xml:space="preserve">Christ's Sanctifying Work: Finding Joy in Spiritual Purification</t>
  </si>
  <si>
    <t xml:space="preserve">Aimee Byrd</t>
  </si>
  <si>
    <t xml:space="preserve">Wed 25 Feb</t>
  </si>
  <si>
    <t xml:space="preserve">Confronting Our Reflections: A Study of Spiritual Self-Deception</t>
  </si>
  <si>
    <t xml:space="preserve">generational_sin_redemption</t>
  </si>
  <si>
    <t xml:space="preserve">Mon 02 Mar</t>
  </si>
  <si>
    <t xml:space="preserve">Breaking Free: Finding Liberation Through Faith</t>
  </si>
  <si>
    <t xml:space="preserve">discipling_children</t>
  </si>
  <si>
    <t xml:space="preserve">Tue 24 Feb</t>
  </si>
  <si>
    <t xml:space="preserve">Discipling Your Child in the Middle Years</t>
  </si>
  <si>
    <t xml:space="preserve">Alexander Ward</t>
  </si>
  <si>
    <t xml:space="preserve">iran_war_energy</t>
  </si>
  <si>
    <t xml:space="preserve">Iran Tensions Deepen as Gulf Energy Infrastructure Faces New Threats</t>
  </si>
  <si>
    <t xml:space="preserve">romans_6_series</t>
  </si>
  <si>
    <t xml:space="preserve">Living in Christ's Victory: Understanding Romans 6:11-14</t>
  </si>
  <si>
    <t xml:space="preserve">promotional_announcement</t>
  </si>
  <si>
    <t xml:space="preserve">Christian Leaders Share Remarkable Stories</t>
  </si>
  <si>
    <t xml:space="preserve">Ancient Pagan Deities: What Christian Theology Teaches</t>
  </si>
  <si>
    <t xml:space="preserve">church life</t>
  </si>
  <si>
    <t xml:space="preserve">podcast_episodes</t>
  </si>
  <si>
    <t xml:space="preserve">Church Dating Advice Faces New Challenges</t>
  </si>
  <si>
    <t xml:space="preserve">culture, work</t>
  </si>
  <si>
    <t xml:space="preserve">ai_ethics_technology</t>
  </si>
  <si>
    <t xml:space="preserve">Wed 18 Feb</t>
  </si>
  <si>
    <t xml:space="preserve">AI Data Centers' Water Use: Weighing Progress Against Environment</t>
  </si>
  <si>
    <t xml:space="preserve">Williams Students Embrace Service Opportunities</t>
  </si>
  <si>
    <t xml:space="preserve">What Makes a Good Writer</t>
  </si>
  <si>
    <t xml:space="preserve">adoption_advocacy</t>
  </si>
  <si>
    <t xml:space="preserve">Tue 17 Feb</t>
  </si>
  <si>
    <t xml:space="preserve">Adoption: A Calling Worth Sharing with the Church</t>
  </si>
  <si>
    <t xml:space="preserve">Joy Clarkson</t>
  </si>
  <si>
    <t xml:space="preserve">Joy Marie Clarkson</t>
  </si>
  <si>
    <t xml:space="preserve">Sat 28 Feb</t>
  </si>
  <si>
    <t xml:space="preserve">Hong Kong Christians Gather for Breakfast Fellowship</t>
  </si>
  <si>
    <t xml:space="preserve">Summary</t>
  </si>
  <si>
    <t xml:space="preserve">Total articles scored</t>
  </si>
  <si>
    <t xml:space="preserve">Avg final score</t>
  </si>
  <si>
    <t xml:space="preserve">Avg AI score</t>
  </si>
  <si>
    <t xml:space="preserve">Articles featured (score ≥5)</t>
  </si>
  <si>
    <t xml:space="preserve">Previously shown</t>
  </si>
  <si>
    <t xml:space="preserve">Duplicates suppressed</t>
  </si>
  <si>
    <t xml:space="preserve">Independent articles</t>
  </si>
</sst>
</file>

<file path=xl/styles.xml><?xml version="1.0" encoding="utf-8"?>
<styleSheet xmlns="http://schemas.openxmlformats.org/spreadsheetml/2006/main">
  <numFmts count="1">
    <numFmt numFmtId="164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0"/>
      <color rgb="FF2C4A2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Cambria"/>
      <family val="0"/>
      <charset val="1"/>
    </font>
    <font>
      <sz val="10"/>
      <color rgb="FF000000"/>
      <name val="Cambria"/>
      <family val="0"/>
      <charset val="1"/>
    </font>
    <font>
      <b val="true"/>
      <sz val="10"/>
      <color rgb="FFCC0000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2C4A2E"/>
      <name val="Arial"/>
      <family val="0"/>
      <charset val="1"/>
    </font>
    <font>
      <sz val="9"/>
      <color rgb="FF555555"/>
      <name val="Arial"/>
      <family val="0"/>
      <charset val="1"/>
    </font>
    <font>
      <sz val="9"/>
      <color rgb="FF1A1A1A"/>
      <name val="Arial"/>
      <family val="0"/>
      <charset val="1"/>
    </font>
    <font>
      <sz val="9"/>
      <color rgb="FF888888"/>
      <name val="Arial"/>
      <family val="0"/>
      <charset val="1"/>
    </font>
    <font>
      <sz val="9"/>
      <color rgb="FF2C5FA6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2C4A2E"/>
        <bgColor rgb="FF1A3A5C"/>
      </patternFill>
    </fill>
    <fill>
      <patternFill patternType="solid">
        <fgColor rgb="FFEFF4F0"/>
        <bgColor rgb="FFF0F7F1"/>
      </patternFill>
    </fill>
    <fill>
      <patternFill patternType="solid">
        <fgColor rgb="FFB8860B"/>
        <bgColor rgb="FFFF9900"/>
      </patternFill>
    </fill>
    <fill>
      <patternFill patternType="solid">
        <fgColor rgb="FFFFF9C4"/>
        <bgColor rgb="FFFFF3E0"/>
      </patternFill>
    </fill>
    <fill>
      <patternFill patternType="solid">
        <fgColor rgb="FF1A3A5C"/>
        <bgColor rgb="FF2C4A2E"/>
      </patternFill>
    </fill>
    <fill>
      <patternFill patternType="solid">
        <fgColor rgb="FFE8F0F8"/>
        <bgColor rgb="FFEFF4F0"/>
      </patternFill>
    </fill>
    <fill>
      <patternFill patternType="solid">
        <fgColor rgb="FFE65100"/>
        <bgColor rgb="FFB8860B"/>
      </patternFill>
    </fill>
    <fill>
      <patternFill patternType="solid">
        <fgColor rgb="FFFFF3E0"/>
        <bgColor rgb="FFFFF0F0"/>
      </patternFill>
    </fill>
    <fill>
      <patternFill patternType="solid">
        <fgColor rgb="FF8B4513"/>
        <bgColor rgb="FF993366"/>
      </patternFill>
    </fill>
    <fill>
      <patternFill patternType="solid">
        <fgColor rgb="FFD9E8DA"/>
        <bgColor rgb="FFC8E6C9"/>
      </patternFill>
    </fill>
    <fill>
      <patternFill patternType="solid">
        <fgColor rgb="FFC8E6C9"/>
        <bgColor rgb="FFD9E8DA"/>
      </patternFill>
    </fill>
    <fill>
      <patternFill patternType="solid">
        <fgColor rgb="FFFFFFFF"/>
        <bgColor rgb="FFFFFFF0"/>
      </patternFill>
    </fill>
    <fill>
      <patternFill patternType="solid">
        <fgColor rgb="FFEAF7EA"/>
        <bgColor rgb="FFF0F7F1"/>
      </patternFill>
    </fill>
    <fill>
      <patternFill patternType="solid">
        <fgColor rgb="FFF0F7F1"/>
        <bgColor rgb="FFEFF4F0"/>
      </patternFill>
    </fill>
    <fill>
      <patternFill patternType="solid">
        <fgColor rgb="FFFFFFF0"/>
        <bgColor rgb="FFFFFAF0"/>
      </patternFill>
    </fill>
    <fill>
      <patternFill patternType="solid">
        <fgColor rgb="FFFFFAF0"/>
        <bgColor rgb="FFFFFFF0"/>
      </patternFill>
    </fill>
    <fill>
      <patternFill patternType="solid">
        <fgColor rgb="FFFFF0F0"/>
        <bgColor rgb="FFFFF3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F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88888"/>
      <rgbColor rgb="FF9999FF"/>
      <rgbColor rgb="FF993366"/>
      <rgbColor rgb="FFFFF9C4"/>
      <rgbColor rgb="FFEAF7EA"/>
      <rgbColor rgb="FF660066"/>
      <rgbColor rgb="FFFF8080"/>
      <rgbColor rgb="FF2C5FA6"/>
      <rgbColor rgb="FFD9E8DA"/>
      <rgbColor rgb="FF000080"/>
      <rgbColor rgb="FFFF00FF"/>
      <rgbColor rgb="FFFFFAF0"/>
      <rgbColor rgb="FF00FFFF"/>
      <rgbColor rgb="FF800080"/>
      <rgbColor rgb="FF800000"/>
      <rgbColor rgb="FF008080"/>
      <rgbColor rgb="FF0000FF"/>
      <rgbColor rgb="FF00CCFF"/>
      <rgbColor rgb="FFE8F0F8"/>
      <rgbColor rgb="FFC8E6C9"/>
      <rgbColor rgb="FFFFF3E0"/>
      <rgbColor rgb="FFEFF4F0"/>
      <rgbColor rgb="FFF0F7F1"/>
      <rgbColor rgb="FFCC99FF"/>
      <rgbColor rgb="FFFFF0F0"/>
      <rgbColor rgb="FF3366FF"/>
      <rgbColor rgb="FF33CCCC"/>
      <rgbColor rgb="FF99CC00"/>
      <rgbColor rgb="FFFFCC00"/>
      <rgbColor rgb="FFFF9900"/>
      <rgbColor rgb="FFE65100"/>
      <rgbColor rgb="FF666666"/>
      <rgbColor rgb="FF969696"/>
      <rgbColor rgb="FF1A3A5C"/>
      <rgbColor rgb="FF339966"/>
      <rgbColor rgb="FF003300"/>
      <rgbColor rgb="FF1A1A1A"/>
      <rgbColor rgb="FF8B4513"/>
      <rgbColor rgb="FF993366"/>
      <rgbColor rgb="FF555555"/>
      <rgbColor rgb="FF2C4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55"/>
    <col collapsed="false" customWidth="true" hidden="false" outlineLevel="0" max="4" min="4" style="0" width="18"/>
  </cols>
  <sheetData>
    <row r="1" customFormat="false" ht="30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s">
        <v>4</v>
      </c>
      <c r="C5" s="5"/>
      <c r="D5" s="5"/>
    </row>
    <row r="6" customFormat="false" ht="15" hidden="false" customHeight="false" outlineLevel="0" collapsed="false">
      <c r="B6" s="5" t="s">
        <v>5</v>
      </c>
      <c r="C6" s="5"/>
      <c r="D6" s="5"/>
    </row>
    <row r="7" customFormat="false" ht="15" hidden="false" customHeight="false" outlineLevel="0" collapsed="false">
      <c r="B7" s="5" t="s">
        <v>6</v>
      </c>
      <c r="C7" s="5"/>
      <c r="D7" s="5"/>
    </row>
    <row r="8" customFormat="false" ht="15" hidden="false" customHeight="false" outlineLevel="0" collapsed="false">
      <c r="B8" s="5" t="s">
        <v>7</v>
      </c>
      <c r="C8" s="5"/>
      <c r="D8" s="5"/>
    </row>
    <row r="9" customFormat="false" ht="15" hidden="false" customHeight="false" outlineLevel="0" collapsed="false">
      <c r="B9" s="5" t="s">
        <v>8</v>
      </c>
      <c r="C9" s="5"/>
      <c r="D9" s="5"/>
    </row>
    <row r="10" customFormat="false" ht="15" hidden="false" customHeight="false" outlineLevel="0" collapsed="false">
      <c r="B10" s="5" t="s">
        <v>9</v>
      </c>
      <c r="C10" s="5"/>
      <c r="D10" s="5"/>
    </row>
    <row r="11" customFormat="false" ht="13.5" hidden="false" customHeight="true" outlineLevel="0" collapsed="false">
      <c r="B11" s="6" t="s">
        <v>10</v>
      </c>
      <c r="C11" s="6"/>
      <c r="D11" s="6"/>
    </row>
    <row r="13" customFormat="false" ht="21.75" hidden="false" customHeight="true" outlineLevel="0" collapsed="false">
      <c r="A13" s="3" t="s">
        <v>11</v>
      </c>
      <c r="B13" s="3"/>
      <c r="C13" s="3"/>
      <c r="D13" s="3"/>
    </row>
    <row r="14" customFormat="false" ht="18" hidden="false" customHeight="true" outlineLevel="0" collapsed="false">
      <c r="A14" s="7" t="s">
        <v>12</v>
      </c>
      <c r="B14" s="7" t="s">
        <v>13</v>
      </c>
      <c r="C14" s="8" t="s">
        <v>14</v>
      </c>
      <c r="D14" s="8"/>
    </row>
    <row r="15" customFormat="false" ht="51.75" hidden="false" customHeight="true" outlineLevel="0" collapsed="false">
      <c r="A15" s="9" t="s">
        <v>15</v>
      </c>
      <c r="B15" s="10" t="s">
        <v>16</v>
      </c>
      <c r="C15" s="11" t="s">
        <v>17</v>
      </c>
      <c r="D15" s="11"/>
    </row>
    <row r="16" customFormat="false" ht="51.75" hidden="false" customHeight="true" outlineLevel="0" collapsed="false">
      <c r="A16" s="9" t="s">
        <v>18</v>
      </c>
      <c r="B16" s="10" t="s">
        <v>19</v>
      </c>
      <c r="C16" s="11" t="s">
        <v>20</v>
      </c>
      <c r="D16" s="11"/>
    </row>
    <row r="17" customFormat="false" ht="51.75" hidden="false" customHeight="true" outlineLevel="0" collapsed="false">
      <c r="A17" s="9" t="s">
        <v>21</v>
      </c>
      <c r="B17" s="10" t="s">
        <v>22</v>
      </c>
      <c r="C17" s="11" t="s">
        <v>23</v>
      </c>
      <c r="D17" s="11"/>
    </row>
    <row r="18" customFormat="false" ht="51.75" hidden="false" customHeight="true" outlineLevel="0" collapsed="false">
      <c r="A18" s="9" t="s">
        <v>24</v>
      </c>
      <c r="B18" s="10" t="s">
        <v>25</v>
      </c>
      <c r="C18" s="11" t="s">
        <v>26</v>
      </c>
      <c r="D18" s="11"/>
    </row>
    <row r="19" customFormat="false" ht="51.75" hidden="false" customHeight="true" outlineLevel="0" collapsed="false">
      <c r="A19" s="9" t="s">
        <v>27</v>
      </c>
      <c r="B19" s="10" t="s">
        <v>28</v>
      </c>
      <c r="C19" s="11" t="s">
        <v>29</v>
      </c>
      <c r="D19" s="11"/>
    </row>
    <row r="21" customFormat="false" ht="21.75" hidden="false" customHeight="true" outlineLevel="0" collapsed="false">
      <c r="A21" s="3" t="s">
        <v>30</v>
      </c>
      <c r="B21" s="3"/>
      <c r="C21" s="3"/>
      <c r="D21" s="3"/>
    </row>
    <row r="22" customFormat="false" ht="18" hidden="false" customHeight="true" outlineLevel="0" collapsed="false">
      <c r="A22" s="7" t="s">
        <v>31</v>
      </c>
      <c r="B22" s="7" t="s">
        <v>32</v>
      </c>
      <c r="C22" s="8" t="s">
        <v>33</v>
      </c>
      <c r="D22" s="8"/>
    </row>
    <row r="23" customFormat="false" ht="51.75" hidden="false" customHeight="true" outlineLevel="0" collapsed="false">
      <c r="A23" s="9" t="s">
        <v>34</v>
      </c>
      <c r="B23" s="12" t="s">
        <v>35</v>
      </c>
      <c r="C23" s="11" t="s">
        <v>36</v>
      </c>
      <c r="D23" s="11"/>
    </row>
    <row r="24" customFormat="false" ht="51.75" hidden="false" customHeight="true" outlineLevel="0" collapsed="false">
      <c r="A24" s="9" t="s">
        <v>37</v>
      </c>
      <c r="B24" s="12" t="s">
        <v>38</v>
      </c>
      <c r="C24" s="11" t="s">
        <v>39</v>
      </c>
      <c r="D24" s="11"/>
    </row>
    <row r="25" customFormat="false" ht="51.75" hidden="false" customHeight="true" outlineLevel="0" collapsed="false">
      <c r="A25" s="9" t="s">
        <v>40</v>
      </c>
      <c r="B25" s="12" t="s">
        <v>41</v>
      </c>
      <c r="C25" s="11" t="s">
        <v>42</v>
      </c>
      <c r="D25" s="11"/>
    </row>
    <row r="26" customFormat="false" ht="51.75" hidden="false" customHeight="true" outlineLevel="0" collapsed="false">
      <c r="A26" s="9" t="s">
        <v>43</v>
      </c>
      <c r="B26" s="12" t="s">
        <v>44</v>
      </c>
      <c r="C26" s="11" t="s">
        <v>45</v>
      </c>
      <c r="D26" s="11"/>
    </row>
    <row r="28" customFormat="false" ht="21.75" hidden="false" customHeight="true" outlineLevel="0" collapsed="false">
      <c r="A28" s="3" t="s">
        <v>46</v>
      </c>
      <c r="B28" s="3"/>
      <c r="C28" s="3"/>
      <c r="D28" s="3"/>
    </row>
    <row r="29" customFormat="false" ht="18" hidden="false" customHeight="true" outlineLevel="0" collapsed="false">
      <c r="A29" s="7" t="s">
        <v>47</v>
      </c>
      <c r="B29" s="7" t="s">
        <v>48</v>
      </c>
      <c r="C29" s="8" t="s">
        <v>49</v>
      </c>
      <c r="D29" s="8"/>
    </row>
    <row r="30" customFormat="false" ht="19.5" hidden="false" customHeight="true" outlineLevel="0" collapsed="false">
      <c r="A30" s="13" t="s">
        <v>50</v>
      </c>
      <c r="B30" s="12" t="s">
        <v>51</v>
      </c>
      <c r="C30" s="11" t="s">
        <v>52</v>
      </c>
      <c r="D30" s="11"/>
    </row>
    <row r="31" customFormat="false" ht="19.5" hidden="false" customHeight="true" outlineLevel="0" collapsed="false">
      <c r="A31" s="13" t="s">
        <v>53</v>
      </c>
      <c r="B31" s="12" t="s">
        <v>54</v>
      </c>
      <c r="C31" s="11" t="s">
        <v>55</v>
      </c>
      <c r="D31" s="11"/>
    </row>
    <row r="32" customFormat="false" ht="19.5" hidden="false" customHeight="true" outlineLevel="0" collapsed="false">
      <c r="A32" s="13" t="s">
        <v>56</v>
      </c>
      <c r="B32" s="12" t="s">
        <v>57</v>
      </c>
      <c r="C32" s="11" t="s">
        <v>58</v>
      </c>
      <c r="D32" s="11"/>
    </row>
    <row r="33" customFormat="false" ht="19.5" hidden="false" customHeight="true" outlineLevel="0" collapsed="false">
      <c r="A33" s="13" t="s">
        <v>59</v>
      </c>
      <c r="B33" s="12" t="s">
        <v>60</v>
      </c>
      <c r="C33" s="11" t="s">
        <v>61</v>
      </c>
      <c r="D33" s="11"/>
    </row>
    <row r="35" customFormat="false" ht="21.75" hidden="false" customHeight="true" outlineLevel="0" collapsed="false">
      <c r="A35" s="14" t="s">
        <v>62</v>
      </c>
      <c r="B35" s="14"/>
      <c r="C35" s="14"/>
      <c r="D35" s="14"/>
    </row>
    <row r="36" customFormat="false" ht="18" hidden="false" customHeight="true" outlineLevel="0" collapsed="false">
      <c r="A36" s="15" t="s">
        <v>63</v>
      </c>
      <c r="B36" s="15" t="s">
        <v>64</v>
      </c>
      <c r="C36" s="15" t="s">
        <v>33</v>
      </c>
      <c r="D36" s="15"/>
    </row>
    <row r="37" customFormat="false" ht="51.75" hidden="false" customHeight="true" outlineLevel="0" collapsed="false">
      <c r="A37" s="16" t="s">
        <v>65</v>
      </c>
      <c r="B37" s="17" t="s">
        <v>66</v>
      </c>
      <c r="C37" s="18" t="s">
        <v>67</v>
      </c>
      <c r="D37" s="18"/>
    </row>
    <row r="38" customFormat="false" ht="51.75" hidden="false" customHeight="true" outlineLevel="0" collapsed="false">
      <c r="A38" s="16" t="s">
        <v>68</v>
      </c>
      <c r="B38" s="17" t="s">
        <v>69</v>
      </c>
      <c r="C38" s="18" t="s">
        <v>70</v>
      </c>
      <c r="D38" s="18"/>
    </row>
    <row r="40" customFormat="false" ht="21.75" hidden="false" customHeight="true" outlineLevel="0" collapsed="false">
      <c r="A40" s="3" t="s">
        <v>71</v>
      </c>
      <c r="B40" s="3"/>
      <c r="C40" s="3"/>
      <c r="D40" s="3"/>
    </row>
    <row r="41" customFormat="false" ht="18" hidden="false" customHeight="true" outlineLevel="0" collapsed="false">
      <c r="A41" s="19" t="s">
        <v>72</v>
      </c>
      <c r="B41" s="19" t="s">
        <v>73</v>
      </c>
      <c r="C41" s="19" t="s">
        <v>49</v>
      </c>
      <c r="D41" s="19"/>
    </row>
    <row r="42" customFormat="false" ht="19.5" hidden="false" customHeight="true" outlineLevel="0" collapsed="false">
      <c r="A42" s="13" t="s">
        <v>74</v>
      </c>
      <c r="B42" s="12" t="s">
        <v>75</v>
      </c>
      <c r="C42" s="11" t="s">
        <v>76</v>
      </c>
      <c r="D42" s="11"/>
    </row>
    <row r="43" customFormat="false" ht="19.5" hidden="false" customHeight="true" outlineLevel="0" collapsed="false">
      <c r="A43" s="13" t="s">
        <v>77</v>
      </c>
      <c r="B43" s="12" t="s">
        <v>78</v>
      </c>
      <c r="C43" s="11" t="s">
        <v>79</v>
      </c>
      <c r="D43" s="11"/>
    </row>
    <row r="44" customFormat="false" ht="19.5" hidden="false" customHeight="true" outlineLevel="0" collapsed="false">
      <c r="A44" s="13" t="s">
        <v>80</v>
      </c>
      <c r="B44" s="12" t="s">
        <v>81</v>
      </c>
      <c r="C44" s="11" t="s">
        <v>82</v>
      </c>
      <c r="D44" s="11"/>
    </row>
    <row r="45" customFormat="false" ht="19.5" hidden="false" customHeight="true" outlineLevel="0" collapsed="false">
      <c r="A45" s="13" t="s">
        <v>83</v>
      </c>
      <c r="B45" s="12" t="s">
        <v>84</v>
      </c>
      <c r="C45" s="11" t="s">
        <v>85</v>
      </c>
      <c r="D45" s="11"/>
    </row>
    <row r="46" customFormat="false" ht="19.5" hidden="false" customHeight="true" outlineLevel="0" collapsed="false">
      <c r="A46" s="13" t="s">
        <v>86</v>
      </c>
      <c r="B46" s="12" t="s">
        <v>87</v>
      </c>
      <c r="C46" s="11" t="s">
        <v>88</v>
      </c>
      <c r="D46" s="11"/>
    </row>
    <row r="47" customFormat="false" ht="19.5" hidden="false" customHeight="true" outlineLevel="0" collapsed="false">
      <c r="A47" s="13" t="s">
        <v>89</v>
      </c>
      <c r="B47" s="12" t="s">
        <v>90</v>
      </c>
      <c r="C47" s="11" t="s">
        <v>91</v>
      </c>
      <c r="D47" s="11"/>
    </row>
    <row r="49" customFormat="false" ht="21.75" hidden="false" customHeight="true" outlineLevel="0" collapsed="false">
      <c r="A49" s="20" t="s">
        <v>92</v>
      </c>
      <c r="B49" s="20"/>
      <c r="C49" s="20"/>
      <c r="D49" s="20"/>
    </row>
    <row r="50" customFormat="false" ht="18" hidden="false" customHeight="true" outlineLevel="0" collapsed="false">
      <c r="A50" s="21" t="s">
        <v>93</v>
      </c>
      <c r="B50" s="21" t="s">
        <v>73</v>
      </c>
      <c r="C50" s="21" t="s">
        <v>33</v>
      </c>
      <c r="D50" s="21"/>
    </row>
    <row r="51" customFormat="false" ht="51.75" hidden="false" customHeight="true" outlineLevel="0" collapsed="false">
      <c r="A51" s="22" t="s">
        <v>94</v>
      </c>
      <c r="B51" s="23" t="s">
        <v>95</v>
      </c>
      <c r="C51" s="24" t="s">
        <v>96</v>
      </c>
      <c r="D51" s="24"/>
    </row>
    <row r="52" customFormat="false" ht="51.75" hidden="false" customHeight="true" outlineLevel="0" collapsed="false">
      <c r="A52" s="22" t="s">
        <v>97</v>
      </c>
      <c r="B52" s="23" t="s">
        <v>98</v>
      </c>
      <c r="C52" s="24" t="s">
        <v>99</v>
      </c>
      <c r="D52" s="24"/>
    </row>
    <row r="53" customFormat="false" ht="51.75" hidden="false" customHeight="true" outlineLevel="0" collapsed="false">
      <c r="A53" s="22" t="s">
        <v>100</v>
      </c>
      <c r="B53" s="23" t="s">
        <v>98</v>
      </c>
      <c r="C53" s="24" t="s">
        <v>101</v>
      </c>
      <c r="D53" s="24"/>
    </row>
    <row r="54" customFormat="false" ht="51.75" hidden="false" customHeight="true" outlineLevel="0" collapsed="false">
      <c r="A54" s="22" t="s">
        <v>102</v>
      </c>
      <c r="B54" s="23" t="s">
        <v>103</v>
      </c>
      <c r="C54" s="24" t="s">
        <v>104</v>
      </c>
      <c r="D54" s="24"/>
    </row>
    <row r="55" customFormat="false" ht="51.75" hidden="false" customHeight="true" outlineLevel="0" collapsed="false">
      <c r="A55" s="22" t="s">
        <v>105</v>
      </c>
      <c r="B55" s="23" t="s">
        <v>106</v>
      </c>
      <c r="C55" s="24" t="s">
        <v>107</v>
      </c>
      <c r="D55" s="24"/>
    </row>
    <row r="57" customFormat="false" ht="21.75" hidden="false" customHeight="true" outlineLevel="0" collapsed="false">
      <c r="A57" s="25" t="s">
        <v>108</v>
      </c>
      <c r="B57" s="25"/>
      <c r="C57" s="25"/>
      <c r="D57" s="25"/>
    </row>
    <row r="58" customFormat="false" ht="18" hidden="false" customHeight="true" outlineLevel="0" collapsed="false">
      <c r="A58" s="26" t="s">
        <v>63</v>
      </c>
      <c r="B58" s="26" t="s">
        <v>109</v>
      </c>
      <c r="C58" s="26" t="s">
        <v>33</v>
      </c>
      <c r="D58" s="26"/>
    </row>
    <row r="59" customFormat="false" ht="51.75" hidden="false" customHeight="true" outlineLevel="0" collapsed="false">
      <c r="A59" s="27" t="s">
        <v>110</v>
      </c>
      <c r="B59" s="28" t="s">
        <v>111</v>
      </c>
      <c r="C59" s="29" t="s">
        <v>112</v>
      </c>
      <c r="D59" s="29"/>
    </row>
    <row r="60" customFormat="false" ht="51.75" hidden="false" customHeight="true" outlineLevel="0" collapsed="false">
      <c r="A60" s="27" t="s">
        <v>113</v>
      </c>
      <c r="B60" s="28" t="s">
        <v>114</v>
      </c>
      <c r="C60" s="29" t="s">
        <v>115</v>
      </c>
      <c r="D60" s="29"/>
    </row>
    <row r="62" customFormat="false" ht="21.75" hidden="false" customHeight="true" outlineLevel="0" collapsed="false">
      <c r="A62" s="30" t="s">
        <v>116</v>
      </c>
      <c r="B62" s="30"/>
      <c r="C62" s="30"/>
      <c r="D62" s="30"/>
    </row>
    <row r="63" customFormat="false" ht="18" hidden="false" customHeight="true" outlineLevel="0" collapsed="false">
      <c r="A63" s="26" t="s">
        <v>63</v>
      </c>
      <c r="B63" s="26" t="s">
        <v>109</v>
      </c>
      <c r="C63" s="26" t="s">
        <v>33</v>
      </c>
      <c r="D63" s="26"/>
    </row>
    <row r="64" customFormat="false" ht="51.75" hidden="false" customHeight="true" outlineLevel="0" collapsed="false">
      <c r="A64" s="27" t="s">
        <v>117</v>
      </c>
      <c r="B64" s="28" t="s">
        <v>118</v>
      </c>
      <c r="C64" s="29" t="s">
        <v>119</v>
      </c>
      <c r="D64" s="29"/>
    </row>
    <row r="65" customFormat="false" ht="51.75" hidden="false" customHeight="true" outlineLevel="0" collapsed="false">
      <c r="A65" s="27" t="s">
        <v>120</v>
      </c>
      <c r="B65" s="28" t="s">
        <v>118</v>
      </c>
      <c r="C65" s="29" t="s">
        <v>121</v>
      </c>
      <c r="D65" s="29"/>
    </row>
    <row r="67" customFormat="false" ht="15" hidden="false" customHeight="false" outlineLevel="0" collapsed="false">
      <c r="A67" s="31" t="s">
        <v>122</v>
      </c>
    </row>
    <row r="68" customFormat="false" ht="15" hidden="false" customHeight="false" outlineLevel="0" collapsed="false">
      <c r="A68" s="32" t="s">
        <v>47</v>
      </c>
      <c r="B68" s="32" t="s">
        <v>73</v>
      </c>
      <c r="C68" s="32" t="s">
        <v>33</v>
      </c>
    </row>
    <row r="69" customFormat="false" ht="23.85" hidden="false" customHeight="false" outlineLevel="0" collapsed="false">
      <c r="A69" s="33" t="s">
        <v>123</v>
      </c>
      <c r="B69" s="34" t="s">
        <v>124</v>
      </c>
      <c r="C69" s="35" t="s">
        <v>125</v>
      </c>
    </row>
    <row r="70" customFormat="false" ht="23.85" hidden="false" customHeight="false" outlineLevel="0" collapsed="false">
      <c r="A70" s="33" t="s">
        <v>126</v>
      </c>
      <c r="B70" s="34" t="s">
        <v>95</v>
      </c>
      <c r="C70" s="35" t="s">
        <v>127</v>
      </c>
    </row>
    <row r="71" customFormat="false" ht="23.85" hidden="false" customHeight="false" outlineLevel="0" collapsed="false">
      <c r="A71" s="33" t="s">
        <v>128</v>
      </c>
      <c r="B71" s="34" t="s">
        <v>129</v>
      </c>
      <c r="C71" s="35" t="s">
        <v>130</v>
      </c>
    </row>
    <row r="72" customFormat="false" ht="23.85" hidden="false" customHeight="false" outlineLevel="0" collapsed="false">
      <c r="A72" s="33" t="s">
        <v>131</v>
      </c>
      <c r="B72" s="34" t="s">
        <v>132</v>
      </c>
      <c r="C72" s="35" t="s">
        <v>133</v>
      </c>
    </row>
    <row r="73" customFormat="false" ht="35.05" hidden="false" customHeight="false" outlineLevel="0" collapsed="false">
      <c r="A73" s="33" t="s">
        <v>134</v>
      </c>
      <c r="B73" s="36" t="s">
        <v>135</v>
      </c>
      <c r="C73" s="35" t="s">
        <v>136</v>
      </c>
    </row>
    <row r="75" customFormat="false" ht="64.15" hidden="false" customHeight="false" outlineLevel="0" collapsed="false">
      <c r="A75" s="37" t="s">
        <v>137</v>
      </c>
    </row>
  </sheetData>
  <mergeCells count="54">
    <mergeCell ref="A1:D1"/>
    <mergeCell ref="A2:D2"/>
    <mergeCell ref="A4:D4"/>
    <mergeCell ref="B5:D5"/>
    <mergeCell ref="B6:D6"/>
    <mergeCell ref="B7:D7"/>
    <mergeCell ref="B8:D8"/>
    <mergeCell ref="B9:D9"/>
    <mergeCell ref="B10:D10"/>
    <mergeCell ref="B11:D11"/>
    <mergeCell ref="A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A28:D28"/>
    <mergeCell ref="C29:D29"/>
    <mergeCell ref="C30:D30"/>
    <mergeCell ref="C31:D31"/>
    <mergeCell ref="C32:D32"/>
    <mergeCell ref="C33:D33"/>
    <mergeCell ref="A35:D35"/>
    <mergeCell ref="C36:D36"/>
    <mergeCell ref="C37:D37"/>
    <mergeCell ref="C38:D38"/>
    <mergeCell ref="A40:D40"/>
    <mergeCell ref="C41:D41"/>
    <mergeCell ref="C42:D42"/>
    <mergeCell ref="C43:D43"/>
    <mergeCell ref="C44:D44"/>
    <mergeCell ref="C45:D45"/>
    <mergeCell ref="C46:D46"/>
    <mergeCell ref="C47:D47"/>
    <mergeCell ref="A49:D49"/>
    <mergeCell ref="C50:D50"/>
    <mergeCell ref="C51:D51"/>
    <mergeCell ref="C52:D52"/>
    <mergeCell ref="C53:D53"/>
    <mergeCell ref="C54:D54"/>
    <mergeCell ref="C55:D55"/>
    <mergeCell ref="A57:D57"/>
    <mergeCell ref="C59:D59"/>
    <mergeCell ref="C60:D60"/>
    <mergeCell ref="A62:D62"/>
    <mergeCell ref="C64:D64"/>
    <mergeCell ref="C65:D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55"/>
  </cols>
  <sheetData>
    <row r="1" customFormat="false" ht="30" hidden="false" customHeight="true" outlineLevel="0" collapsed="false">
      <c r="A1" s="1" t="s">
        <v>138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139</v>
      </c>
      <c r="B2" s="2"/>
      <c r="C2" s="2"/>
      <c r="D2" s="2"/>
      <c r="E2" s="2"/>
    </row>
    <row r="4" customFormat="false" ht="19.5" hidden="false" customHeight="true" outlineLevel="0" collapsed="false">
      <c r="A4" s="38" t="s">
        <v>140</v>
      </c>
      <c r="B4" s="38" t="s">
        <v>31</v>
      </c>
      <c r="C4" s="38" t="s">
        <v>32</v>
      </c>
      <c r="D4" s="38" t="s">
        <v>141</v>
      </c>
      <c r="E4" s="38" t="s">
        <v>142</v>
      </c>
    </row>
    <row r="5" customFormat="false" ht="36" hidden="false" customHeight="true" outlineLevel="0" collapsed="false">
      <c r="A5" s="39" t="s">
        <v>143</v>
      </c>
      <c r="B5" s="40" t="s">
        <v>144</v>
      </c>
      <c r="C5" s="40" t="s">
        <v>145</v>
      </c>
      <c r="D5" s="41" t="s">
        <v>146</v>
      </c>
      <c r="E5" s="42" t="s">
        <v>147</v>
      </c>
    </row>
    <row r="6" customFormat="false" ht="36" hidden="false" customHeight="true" outlineLevel="0" collapsed="false">
      <c r="A6" s="39" t="s">
        <v>148</v>
      </c>
      <c r="B6" s="40" t="s">
        <v>144</v>
      </c>
      <c r="C6" s="40" t="s">
        <v>145</v>
      </c>
      <c r="D6" s="41" t="s">
        <v>146</v>
      </c>
      <c r="E6" s="42" t="s">
        <v>149</v>
      </c>
    </row>
    <row r="7" customFormat="false" ht="36" hidden="false" customHeight="true" outlineLevel="0" collapsed="false">
      <c r="A7" s="39" t="s">
        <v>150</v>
      </c>
      <c r="B7" s="40" t="s">
        <v>144</v>
      </c>
      <c r="C7" s="40" t="s">
        <v>145</v>
      </c>
      <c r="D7" s="41" t="s">
        <v>146</v>
      </c>
      <c r="E7" s="42" t="s">
        <v>151</v>
      </c>
    </row>
    <row r="8" customFormat="false" ht="36" hidden="false" customHeight="true" outlineLevel="0" collapsed="false">
      <c r="A8" s="39" t="s">
        <v>152</v>
      </c>
      <c r="B8" s="40" t="s">
        <v>144</v>
      </c>
      <c r="C8" s="40" t="s">
        <v>145</v>
      </c>
      <c r="D8" s="41" t="s">
        <v>146</v>
      </c>
      <c r="E8" s="42" t="s">
        <v>153</v>
      </c>
    </row>
    <row r="9" customFormat="false" ht="36" hidden="false" customHeight="true" outlineLevel="0" collapsed="false">
      <c r="A9" s="43" t="s">
        <v>154</v>
      </c>
      <c r="B9" s="44" t="s">
        <v>155</v>
      </c>
      <c r="C9" s="44" t="s">
        <v>35</v>
      </c>
      <c r="D9" s="45" t="s">
        <v>146</v>
      </c>
      <c r="E9" s="46" t="s">
        <v>156</v>
      </c>
    </row>
    <row r="10" customFormat="false" ht="36" hidden="false" customHeight="true" outlineLevel="0" collapsed="false">
      <c r="A10" s="43" t="s">
        <v>157</v>
      </c>
      <c r="B10" s="44" t="s">
        <v>155</v>
      </c>
      <c r="C10" s="44" t="s">
        <v>35</v>
      </c>
      <c r="D10" s="45" t="s">
        <v>146</v>
      </c>
      <c r="E10" s="46" t="s">
        <v>158</v>
      </c>
    </row>
    <row r="11" customFormat="false" ht="36" hidden="false" customHeight="true" outlineLevel="0" collapsed="false">
      <c r="A11" s="43" t="s">
        <v>159</v>
      </c>
      <c r="B11" s="44" t="s">
        <v>155</v>
      </c>
      <c r="C11" s="44" t="s">
        <v>35</v>
      </c>
      <c r="D11" s="45" t="s">
        <v>146</v>
      </c>
      <c r="E11" s="46" t="s">
        <v>160</v>
      </c>
    </row>
    <row r="12" customFormat="false" ht="36" hidden="false" customHeight="true" outlineLevel="0" collapsed="false">
      <c r="A12" s="43" t="s">
        <v>161</v>
      </c>
      <c r="B12" s="44" t="s">
        <v>155</v>
      </c>
      <c r="C12" s="44" t="s">
        <v>35</v>
      </c>
      <c r="D12" s="45" t="s">
        <v>146</v>
      </c>
      <c r="E12" s="46" t="s">
        <v>162</v>
      </c>
    </row>
    <row r="13" customFormat="false" ht="36" hidden="false" customHeight="true" outlineLevel="0" collapsed="false">
      <c r="A13" s="43" t="s">
        <v>163</v>
      </c>
      <c r="B13" s="44" t="s">
        <v>155</v>
      </c>
      <c r="C13" s="44" t="s">
        <v>35</v>
      </c>
      <c r="D13" s="45" t="s">
        <v>146</v>
      </c>
      <c r="E13" s="46" t="s">
        <v>164</v>
      </c>
    </row>
    <row r="14" customFormat="false" ht="36" hidden="false" customHeight="true" outlineLevel="0" collapsed="false">
      <c r="A14" s="47" t="s">
        <v>165</v>
      </c>
      <c r="B14" s="48" t="s">
        <v>166</v>
      </c>
      <c r="C14" s="48" t="s">
        <v>38</v>
      </c>
      <c r="D14" s="49" t="s">
        <v>146</v>
      </c>
      <c r="E14" s="50" t="s">
        <v>167</v>
      </c>
    </row>
    <row r="15" customFormat="false" ht="36" hidden="false" customHeight="true" outlineLevel="0" collapsed="false">
      <c r="A15" s="47" t="s">
        <v>168</v>
      </c>
      <c r="B15" s="48" t="s">
        <v>166</v>
      </c>
      <c r="C15" s="48" t="s">
        <v>38</v>
      </c>
      <c r="D15" s="49" t="s">
        <v>146</v>
      </c>
      <c r="E15" s="50" t="s">
        <v>169</v>
      </c>
    </row>
    <row r="16" customFormat="false" ht="36" hidden="false" customHeight="true" outlineLevel="0" collapsed="false">
      <c r="A16" s="47" t="s">
        <v>170</v>
      </c>
      <c r="B16" s="48" t="s">
        <v>166</v>
      </c>
      <c r="C16" s="48" t="s">
        <v>38</v>
      </c>
      <c r="D16" s="49" t="s">
        <v>146</v>
      </c>
      <c r="E16" s="50" t="s">
        <v>171</v>
      </c>
    </row>
    <row r="17" customFormat="false" ht="36" hidden="false" customHeight="true" outlineLevel="0" collapsed="false">
      <c r="A17" s="47" t="s">
        <v>172</v>
      </c>
      <c r="B17" s="48" t="s">
        <v>166</v>
      </c>
      <c r="C17" s="48" t="s">
        <v>38</v>
      </c>
      <c r="D17" s="49" t="s">
        <v>173</v>
      </c>
      <c r="E17" s="50" t="s">
        <v>174</v>
      </c>
    </row>
    <row r="18" customFormat="false" ht="36" hidden="false" customHeight="true" outlineLevel="0" collapsed="false">
      <c r="A18" s="47" t="s">
        <v>175</v>
      </c>
      <c r="B18" s="48" t="s">
        <v>166</v>
      </c>
      <c r="C18" s="48" t="s">
        <v>38</v>
      </c>
      <c r="D18" s="49" t="s">
        <v>173</v>
      </c>
      <c r="E18" s="50" t="s">
        <v>176</v>
      </c>
    </row>
    <row r="19" customFormat="false" ht="36" hidden="false" customHeight="true" outlineLevel="0" collapsed="false">
      <c r="A19" s="51" t="s">
        <v>177</v>
      </c>
      <c r="B19" s="52" t="s">
        <v>178</v>
      </c>
      <c r="C19" s="52" t="s">
        <v>41</v>
      </c>
      <c r="D19" s="53" t="s">
        <v>173</v>
      </c>
      <c r="E19" s="54" t="s">
        <v>179</v>
      </c>
    </row>
    <row r="20" customFormat="false" ht="36" hidden="false" customHeight="true" outlineLevel="0" collapsed="false">
      <c r="A20" s="51" t="s">
        <v>180</v>
      </c>
      <c r="B20" s="52" t="s">
        <v>178</v>
      </c>
      <c r="C20" s="52" t="s">
        <v>41</v>
      </c>
      <c r="D20" s="53" t="s">
        <v>173</v>
      </c>
      <c r="E20" s="54" t="s">
        <v>181</v>
      </c>
    </row>
    <row r="21" customFormat="false" ht="36" hidden="false" customHeight="true" outlineLevel="0" collapsed="false">
      <c r="A21" s="51" t="s">
        <v>182</v>
      </c>
      <c r="B21" s="52" t="s">
        <v>178</v>
      </c>
      <c r="C21" s="52" t="s">
        <v>41</v>
      </c>
      <c r="D21" s="53" t="s">
        <v>173</v>
      </c>
      <c r="E21" s="54" t="s">
        <v>183</v>
      </c>
    </row>
    <row r="22" customFormat="false" ht="36" hidden="false" customHeight="true" outlineLevel="0" collapsed="false">
      <c r="A22" s="51" t="s">
        <v>184</v>
      </c>
      <c r="B22" s="52" t="s">
        <v>178</v>
      </c>
      <c r="C22" s="52" t="s">
        <v>41</v>
      </c>
      <c r="D22" s="53" t="s">
        <v>173</v>
      </c>
      <c r="E22" s="54" t="s">
        <v>185</v>
      </c>
    </row>
    <row r="23" customFormat="false" ht="36" hidden="false" customHeight="true" outlineLevel="0" collapsed="false">
      <c r="A23" s="51" t="s">
        <v>186</v>
      </c>
      <c r="B23" s="52" t="s">
        <v>178</v>
      </c>
      <c r="C23" s="52" t="s">
        <v>41</v>
      </c>
      <c r="D23" s="53" t="s">
        <v>173</v>
      </c>
      <c r="E23" s="54" t="s">
        <v>187</v>
      </c>
    </row>
    <row r="24" customFormat="false" ht="36" hidden="false" customHeight="true" outlineLevel="0" collapsed="false">
      <c r="A24" s="51" t="s">
        <v>188</v>
      </c>
      <c r="B24" s="52" t="s">
        <v>178</v>
      </c>
      <c r="C24" s="52" t="s">
        <v>41</v>
      </c>
      <c r="D24" s="53" t="s">
        <v>173</v>
      </c>
      <c r="E24" s="54" t="s">
        <v>189</v>
      </c>
    </row>
    <row r="25" customFormat="false" ht="36" hidden="false" customHeight="true" outlineLevel="0" collapsed="false">
      <c r="A25" s="55" t="s">
        <v>190</v>
      </c>
      <c r="B25" s="56" t="s">
        <v>191</v>
      </c>
      <c r="C25" s="56" t="s">
        <v>192</v>
      </c>
      <c r="D25" s="57" t="s">
        <v>193</v>
      </c>
      <c r="E25" s="58" t="s">
        <v>194</v>
      </c>
    </row>
    <row r="26" customFormat="false" ht="36" hidden="false" customHeight="true" outlineLevel="0" collapsed="false">
      <c r="A26" s="55" t="s">
        <v>195</v>
      </c>
      <c r="B26" s="56" t="s">
        <v>191</v>
      </c>
      <c r="C26" s="56" t="s">
        <v>192</v>
      </c>
      <c r="D26" s="57" t="s">
        <v>193</v>
      </c>
      <c r="E26" s="58" t="s">
        <v>196</v>
      </c>
    </row>
    <row r="27" customFormat="false" ht="36" hidden="false" customHeight="true" outlineLevel="0" collapsed="false">
      <c r="A27" s="55" t="s">
        <v>197</v>
      </c>
      <c r="B27" s="56" t="s">
        <v>198</v>
      </c>
      <c r="C27" s="56" t="s">
        <v>199</v>
      </c>
      <c r="D27" s="57" t="s">
        <v>193</v>
      </c>
      <c r="E27" s="58" t="s">
        <v>200</v>
      </c>
    </row>
    <row r="28" customFormat="false" ht="36" hidden="false" customHeight="true" outlineLevel="0" collapsed="false">
      <c r="A28" s="55" t="s">
        <v>201</v>
      </c>
      <c r="B28" s="56" t="s">
        <v>191</v>
      </c>
      <c r="C28" s="56" t="s">
        <v>192</v>
      </c>
      <c r="D28" s="57" t="s">
        <v>193</v>
      </c>
      <c r="E28" s="58" t="s">
        <v>202</v>
      </c>
    </row>
    <row r="29" customFormat="false" ht="36" hidden="false" customHeight="true" outlineLevel="0" collapsed="false">
      <c r="A29" s="55" t="s">
        <v>203</v>
      </c>
      <c r="B29" s="56" t="s">
        <v>198</v>
      </c>
      <c r="C29" s="56" t="s">
        <v>199</v>
      </c>
      <c r="D29" s="57" t="s">
        <v>193</v>
      </c>
      <c r="E29" s="58" t="s">
        <v>204</v>
      </c>
    </row>
    <row r="30" customFormat="false" ht="23.85" hidden="false" customHeight="false" outlineLevel="0" collapsed="false">
      <c r="A30" s="35" t="s">
        <v>205</v>
      </c>
      <c r="B30" s="35" t="s">
        <v>191</v>
      </c>
      <c r="C30" s="35" t="s">
        <v>192</v>
      </c>
      <c r="D30" s="35" t="s">
        <v>193</v>
      </c>
      <c r="E30" s="35" t="s">
        <v>206</v>
      </c>
    </row>
    <row r="31" customFormat="false" ht="23.85" hidden="false" customHeight="false" outlineLevel="0" collapsed="false">
      <c r="A31" s="35" t="s">
        <v>207</v>
      </c>
      <c r="B31" s="35" t="s">
        <v>191</v>
      </c>
      <c r="C31" s="35" t="s">
        <v>192</v>
      </c>
      <c r="D31" s="35" t="s">
        <v>193</v>
      </c>
      <c r="E31" s="35" t="s">
        <v>208</v>
      </c>
    </row>
    <row r="32" customFormat="false" ht="23.85" hidden="false" customHeight="false" outlineLevel="0" collapsed="false">
      <c r="A32" s="35" t="s">
        <v>209</v>
      </c>
      <c r="B32" s="35" t="s">
        <v>191</v>
      </c>
      <c r="C32" s="35" t="s">
        <v>192</v>
      </c>
      <c r="D32" s="35" t="s">
        <v>193</v>
      </c>
      <c r="E32" s="35" t="s">
        <v>210</v>
      </c>
    </row>
    <row r="33" customFormat="false" ht="35.05" hidden="false" customHeight="false" outlineLevel="0" collapsed="false">
      <c r="A33" s="35" t="s">
        <v>211</v>
      </c>
      <c r="B33" s="35" t="s">
        <v>191</v>
      </c>
      <c r="C33" s="35" t="s">
        <v>192</v>
      </c>
      <c r="D33" s="35" t="s">
        <v>193</v>
      </c>
      <c r="E33" s="35" t="s">
        <v>212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22"/>
    <col collapsed="false" customWidth="true" hidden="false" outlineLevel="0" max="7" min="6" style="0" width="8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28"/>
    <col collapsed="false" customWidth="true" hidden="false" outlineLevel="0" max="13" min="13" style="0" width="55"/>
  </cols>
  <sheetData>
    <row r="1" customFormat="false" ht="21.75" hidden="false" customHeight="true" outlineLevel="0" collapsed="false">
      <c r="A1" s="59" t="s">
        <v>213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customFormat="false" ht="15.75" hidden="false" customHeight="true" outlineLevel="0" collapsed="false">
      <c r="A2" s="60" t="s">
        <v>214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customFormat="false" ht="30" hidden="false" customHeight="true" outlineLevel="0" collapsed="false">
      <c r="A3" s="61" t="s">
        <v>215</v>
      </c>
      <c r="B3" s="61" t="s">
        <v>216</v>
      </c>
      <c r="C3" s="61" t="s">
        <v>217</v>
      </c>
      <c r="D3" s="61" t="s">
        <v>218</v>
      </c>
      <c r="E3" s="61" t="s">
        <v>219</v>
      </c>
      <c r="F3" s="61" t="s">
        <v>220</v>
      </c>
      <c r="G3" s="61" t="s">
        <v>221</v>
      </c>
      <c r="H3" s="61" t="s">
        <v>222</v>
      </c>
      <c r="I3" s="61" t="s">
        <v>223</v>
      </c>
      <c r="J3" s="61" t="s">
        <v>224</v>
      </c>
      <c r="K3" s="61" t="s">
        <v>225</v>
      </c>
      <c r="L3" s="61" t="s">
        <v>226</v>
      </c>
      <c r="M3" s="61" t="s">
        <v>227</v>
      </c>
    </row>
    <row r="4" customFormat="false" ht="27.75" hidden="false" customHeight="true" outlineLevel="0" collapsed="false">
      <c r="A4" s="62" t="n">
        <v>1</v>
      </c>
      <c r="B4" s="63" t="n">
        <v>10</v>
      </c>
      <c r="C4" s="64" t="n">
        <v>8</v>
      </c>
      <c r="D4" s="65" t="s">
        <v>143</v>
      </c>
      <c r="E4" s="66" t="s">
        <v>228</v>
      </c>
      <c r="F4" s="67" t="s">
        <v>229</v>
      </c>
      <c r="G4" s="64" t="n">
        <v>1.5</v>
      </c>
      <c r="H4" s="66" t="s">
        <v>230</v>
      </c>
      <c r="I4" s="68" t="s">
        <v>231</v>
      </c>
      <c r="J4" s="64" t="s">
        <v>232</v>
      </c>
      <c r="K4" s="67" t="s">
        <v>233</v>
      </c>
      <c r="L4" s="69"/>
      <c r="M4" s="65" t="s">
        <v>234</v>
      </c>
    </row>
    <row r="5" customFormat="false" ht="27.75" hidden="false" customHeight="true" outlineLevel="0" collapsed="false">
      <c r="A5" s="62" t="n">
        <v>2</v>
      </c>
      <c r="B5" s="63" t="n">
        <v>9.9</v>
      </c>
      <c r="C5" s="64" t="n">
        <v>7</v>
      </c>
      <c r="D5" s="65" t="s">
        <v>154</v>
      </c>
      <c r="E5" s="66" t="s">
        <v>235</v>
      </c>
      <c r="F5" s="67" t="s">
        <v>229</v>
      </c>
      <c r="G5" s="64" t="n">
        <v>1.5</v>
      </c>
      <c r="H5" s="66" t="s">
        <v>236</v>
      </c>
      <c r="I5" s="68" t="s">
        <v>237</v>
      </c>
      <c r="J5" s="64" t="s">
        <v>238</v>
      </c>
      <c r="K5" s="67" t="s">
        <v>239</v>
      </c>
      <c r="L5" s="69"/>
      <c r="M5" s="65" t="s">
        <v>240</v>
      </c>
    </row>
    <row r="6" customFormat="false" ht="27.75" hidden="false" customHeight="true" outlineLevel="0" collapsed="false">
      <c r="A6" s="62" t="n">
        <v>3</v>
      </c>
      <c r="B6" s="63" t="n">
        <v>9.9</v>
      </c>
      <c r="C6" s="64" t="n">
        <v>8</v>
      </c>
      <c r="D6" s="65" t="s">
        <v>168</v>
      </c>
      <c r="E6" s="66" t="s">
        <v>241</v>
      </c>
      <c r="F6" s="67" t="s">
        <v>229</v>
      </c>
      <c r="G6" s="64" t="n">
        <v>1.5</v>
      </c>
      <c r="H6" s="66" t="s">
        <v>242</v>
      </c>
      <c r="I6" s="68" t="s">
        <v>243</v>
      </c>
      <c r="J6" s="64" t="s">
        <v>244</v>
      </c>
      <c r="K6" s="67" t="s">
        <v>239</v>
      </c>
      <c r="L6" s="69"/>
      <c r="M6" s="65" t="s">
        <v>245</v>
      </c>
    </row>
    <row r="7" customFormat="false" ht="27.75" hidden="false" customHeight="true" outlineLevel="0" collapsed="false">
      <c r="A7" s="62" t="n">
        <v>4</v>
      </c>
      <c r="B7" s="63" t="n">
        <v>9.9</v>
      </c>
      <c r="C7" s="64" t="n">
        <v>7</v>
      </c>
      <c r="D7" s="65" t="s">
        <v>157</v>
      </c>
      <c r="E7" s="66" t="s">
        <v>246</v>
      </c>
      <c r="F7" s="67" t="s">
        <v>229</v>
      </c>
      <c r="G7" s="64" t="n">
        <v>1.5</v>
      </c>
      <c r="H7" s="66" t="s">
        <v>247</v>
      </c>
      <c r="I7" s="68" t="s">
        <v>248</v>
      </c>
      <c r="J7" s="64" t="s">
        <v>244</v>
      </c>
      <c r="K7" s="67" t="s">
        <v>233</v>
      </c>
      <c r="L7" s="69"/>
      <c r="M7" s="65" t="s">
        <v>249</v>
      </c>
    </row>
    <row r="8" customFormat="false" ht="27.75" hidden="false" customHeight="true" outlineLevel="0" collapsed="false">
      <c r="A8" s="62" t="n">
        <v>5</v>
      </c>
      <c r="B8" s="63" t="n">
        <v>9.25</v>
      </c>
      <c r="C8" s="64" t="n">
        <v>7</v>
      </c>
      <c r="D8" s="65" t="s">
        <v>143</v>
      </c>
      <c r="E8" s="66" t="s">
        <v>250</v>
      </c>
      <c r="F8" s="67" t="s">
        <v>229</v>
      </c>
      <c r="G8" s="64" t="n">
        <v>1.5</v>
      </c>
      <c r="H8" s="66" t="s">
        <v>251</v>
      </c>
      <c r="I8" s="68" t="s">
        <v>252</v>
      </c>
      <c r="J8" s="64" t="s">
        <v>244</v>
      </c>
      <c r="K8" s="67" t="s">
        <v>233</v>
      </c>
      <c r="L8" s="69"/>
      <c r="M8" s="65" t="s">
        <v>253</v>
      </c>
    </row>
    <row r="9" customFormat="false" ht="27.75" hidden="false" customHeight="true" outlineLevel="0" collapsed="false">
      <c r="A9" s="62" t="n">
        <v>6</v>
      </c>
      <c r="B9" s="63" t="n">
        <v>9.15</v>
      </c>
      <c r="C9" s="64" t="n">
        <v>7</v>
      </c>
      <c r="D9" s="65" t="s">
        <v>163</v>
      </c>
      <c r="E9" s="66" t="s">
        <v>254</v>
      </c>
      <c r="F9" s="67" t="s">
        <v>229</v>
      </c>
      <c r="G9" s="64" t="n">
        <v>0.75</v>
      </c>
      <c r="H9" s="66" t="s">
        <v>255</v>
      </c>
      <c r="I9" s="68" t="s">
        <v>256</v>
      </c>
      <c r="J9" s="64" t="s">
        <v>238</v>
      </c>
      <c r="K9" s="67" t="s">
        <v>257</v>
      </c>
      <c r="L9" s="69"/>
      <c r="M9" s="65" t="s">
        <v>258</v>
      </c>
    </row>
    <row r="10" customFormat="false" ht="27.75" hidden="false" customHeight="true" outlineLevel="0" collapsed="false">
      <c r="A10" s="62" t="n">
        <v>7</v>
      </c>
      <c r="B10" s="63" t="n">
        <v>9.1</v>
      </c>
      <c r="C10" s="64" t="n">
        <v>8</v>
      </c>
      <c r="D10" s="65" t="s">
        <v>154</v>
      </c>
      <c r="E10" s="66" t="s">
        <v>259</v>
      </c>
      <c r="F10" s="67" t="s">
        <v>229</v>
      </c>
      <c r="G10" s="64" t="n">
        <v>0.25</v>
      </c>
      <c r="H10" s="66" t="s">
        <v>260</v>
      </c>
      <c r="I10" s="68" t="s">
        <v>261</v>
      </c>
      <c r="J10" s="64" t="s">
        <v>232</v>
      </c>
      <c r="K10" s="67" t="s">
        <v>262</v>
      </c>
      <c r="L10" s="69"/>
      <c r="M10" s="65" t="s">
        <v>263</v>
      </c>
    </row>
    <row r="11" customFormat="false" ht="27.75" hidden="false" customHeight="true" outlineLevel="0" collapsed="false">
      <c r="A11" s="70" t="n">
        <v>8</v>
      </c>
      <c r="B11" s="71" t="n">
        <v>8.75</v>
      </c>
      <c r="C11" s="72" t="n">
        <v>8</v>
      </c>
      <c r="D11" s="73" t="s">
        <v>264</v>
      </c>
      <c r="E11" s="74" t="s">
        <v>264</v>
      </c>
      <c r="F11" s="75" t="s">
        <v>229</v>
      </c>
      <c r="G11" s="72" t="n">
        <v>0.75</v>
      </c>
      <c r="H11" s="74" t="s">
        <v>265</v>
      </c>
      <c r="I11" s="76" t="s">
        <v>266</v>
      </c>
      <c r="J11" s="72" t="s">
        <v>232</v>
      </c>
      <c r="K11" s="75" t="s">
        <v>257</v>
      </c>
      <c r="L11" s="77" t="s">
        <v>267</v>
      </c>
      <c r="M11" s="73" t="s">
        <v>268</v>
      </c>
    </row>
    <row r="12" customFormat="false" ht="27.75" hidden="false" customHeight="true" outlineLevel="0" collapsed="false">
      <c r="A12" s="70" t="n">
        <v>9</v>
      </c>
      <c r="B12" s="71" t="n">
        <v>8.5</v>
      </c>
      <c r="C12" s="72" t="n">
        <v>7</v>
      </c>
      <c r="D12" s="73" t="s">
        <v>143</v>
      </c>
      <c r="E12" s="74" t="s">
        <v>269</v>
      </c>
      <c r="F12" s="75" t="s">
        <v>229</v>
      </c>
      <c r="G12" s="72" t="n">
        <v>1.5</v>
      </c>
      <c r="H12" s="74" t="s">
        <v>270</v>
      </c>
      <c r="I12" s="76" t="s">
        <v>271</v>
      </c>
      <c r="J12" s="72" t="s">
        <v>238</v>
      </c>
      <c r="K12" s="75" t="s">
        <v>233</v>
      </c>
      <c r="L12" s="77"/>
      <c r="M12" s="73" t="s">
        <v>272</v>
      </c>
    </row>
    <row r="13" customFormat="false" ht="27.75" hidden="false" customHeight="true" outlineLevel="0" collapsed="false">
      <c r="A13" s="70" t="n">
        <v>10</v>
      </c>
      <c r="B13" s="71" t="n">
        <v>7.95</v>
      </c>
      <c r="C13" s="72" t="n">
        <v>6</v>
      </c>
      <c r="D13" s="73" t="s">
        <v>157</v>
      </c>
      <c r="E13" s="74" t="s">
        <v>273</v>
      </c>
      <c r="F13" s="75" t="s">
        <v>229</v>
      </c>
      <c r="G13" s="72" t="n">
        <v>1.5</v>
      </c>
      <c r="H13" s="74" t="s">
        <v>265</v>
      </c>
      <c r="I13" s="76" t="s">
        <v>274</v>
      </c>
      <c r="J13" s="72" t="s">
        <v>238</v>
      </c>
      <c r="K13" s="75" t="s">
        <v>233</v>
      </c>
      <c r="L13" s="77"/>
      <c r="M13" s="73" t="s">
        <v>275</v>
      </c>
    </row>
    <row r="14" customFormat="false" ht="27.75" hidden="false" customHeight="true" outlineLevel="0" collapsed="false">
      <c r="A14" s="70" t="n">
        <v>11</v>
      </c>
      <c r="B14" s="71" t="n">
        <v>7.8</v>
      </c>
      <c r="C14" s="72" t="n">
        <v>6</v>
      </c>
      <c r="D14" s="73" t="s">
        <v>165</v>
      </c>
      <c r="E14" s="74" t="s">
        <v>276</v>
      </c>
      <c r="F14" s="75" t="s">
        <v>229</v>
      </c>
      <c r="G14" s="72" t="n">
        <v>1.5</v>
      </c>
      <c r="H14" s="74" t="s">
        <v>277</v>
      </c>
      <c r="I14" s="76" t="s">
        <v>278</v>
      </c>
      <c r="J14" s="72" t="s">
        <v>238</v>
      </c>
      <c r="K14" s="75" t="s">
        <v>233</v>
      </c>
      <c r="L14" s="77"/>
      <c r="M14" s="73" t="s">
        <v>279</v>
      </c>
    </row>
    <row r="15" customFormat="false" ht="27.75" hidden="false" customHeight="true" outlineLevel="0" collapsed="false">
      <c r="A15" s="70" t="n">
        <v>12</v>
      </c>
      <c r="B15" s="71" t="n">
        <v>7.75</v>
      </c>
      <c r="C15" s="72" t="n">
        <v>8</v>
      </c>
      <c r="D15" s="73" t="s">
        <v>143</v>
      </c>
      <c r="E15" s="74" t="s">
        <v>280</v>
      </c>
      <c r="F15" s="75" t="s">
        <v>229</v>
      </c>
      <c r="G15" s="72" t="n">
        <v>0.25</v>
      </c>
      <c r="H15" s="74" t="s">
        <v>281</v>
      </c>
      <c r="I15" s="76" t="s">
        <v>282</v>
      </c>
      <c r="J15" s="72" t="s">
        <v>238</v>
      </c>
      <c r="K15" s="75" t="s">
        <v>257</v>
      </c>
      <c r="L15" s="77"/>
      <c r="M15" s="73" t="s">
        <v>283</v>
      </c>
    </row>
    <row r="16" customFormat="false" ht="27.75" hidden="false" customHeight="true" outlineLevel="0" collapsed="false">
      <c r="A16" s="70" t="n">
        <v>13</v>
      </c>
      <c r="B16" s="71" t="n">
        <v>7.75</v>
      </c>
      <c r="C16" s="72" t="n">
        <v>7</v>
      </c>
      <c r="D16" s="73" t="s">
        <v>284</v>
      </c>
      <c r="E16" s="74" t="s">
        <v>284</v>
      </c>
      <c r="F16" s="75" t="s">
        <v>229</v>
      </c>
      <c r="G16" s="72" t="n">
        <v>0.75</v>
      </c>
      <c r="H16" s="74" t="s">
        <v>285</v>
      </c>
      <c r="I16" s="76" t="s">
        <v>286</v>
      </c>
      <c r="J16" s="72" t="s">
        <v>238</v>
      </c>
      <c r="K16" s="75" t="s">
        <v>239</v>
      </c>
      <c r="L16" s="77" t="s">
        <v>267</v>
      </c>
      <c r="M16" s="73" t="s">
        <v>287</v>
      </c>
    </row>
    <row r="17" customFormat="false" ht="27.75" hidden="false" customHeight="true" outlineLevel="0" collapsed="false">
      <c r="A17" s="70" t="n">
        <v>14</v>
      </c>
      <c r="B17" s="71" t="n">
        <v>7.65</v>
      </c>
      <c r="C17" s="72" t="n">
        <v>7</v>
      </c>
      <c r="D17" s="73" t="s">
        <v>154</v>
      </c>
      <c r="E17" s="74" t="s">
        <v>288</v>
      </c>
      <c r="F17" s="75" t="s">
        <v>229</v>
      </c>
      <c r="G17" s="72" t="n">
        <v>0.75</v>
      </c>
      <c r="H17" s="74" t="s">
        <v>289</v>
      </c>
      <c r="I17" s="76" t="s">
        <v>290</v>
      </c>
      <c r="J17" s="72" t="s">
        <v>244</v>
      </c>
      <c r="K17" s="75" t="s">
        <v>257</v>
      </c>
      <c r="L17" s="77"/>
      <c r="M17" s="73" t="s">
        <v>291</v>
      </c>
    </row>
    <row r="18" customFormat="false" ht="27.75" hidden="false" customHeight="true" outlineLevel="0" collapsed="false">
      <c r="A18" s="70" t="n">
        <v>15</v>
      </c>
      <c r="B18" s="71" t="n">
        <v>7.35</v>
      </c>
      <c r="C18" s="72" t="n">
        <v>7</v>
      </c>
      <c r="D18" s="73" t="s">
        <v>168</v>
      </c>
      <c r="E18" s="74" t="s">
        <v>241</v>
      </c>
      <c r="F18" s="75" t="s">
        <v>229</v>
      </c>
      <c r="G18" s="72" t="n">
        <v>0.75</v>
      </c>
      <c r="H18" s="74" t="s">
        <v>292</v>
      </c>
      <c r="I18" s="76" t="s">
        <v>293</v>
      </c>
      <c r="J18" s="72" t="s">
        <v>238</v>
      </c>
      <c r="K18" s="75" t="s">
        <v>257</v>
      </c>
      <c r="L18" s="77"/>
      <c r="M18" s="73" t="s">
        <v>294</v>
      </c>
    </row>
    <row r="19" customFormat="false" ht="27.75" hidden="false" customHeight="true" outlineLevel="0" collapsed="false">
      <c r="A19" s="70" t="n">
        <v>16</v>
      </c>
      <c r="B19" s="71" t="n">
        <v>7.25</v>
      </c>
      <c r="C19" s="72" t="n">
        <v>7</v>
      </c>
      <c r="D19" s="73" t="s">
        <v>295</v>
      </c>
      <c r="E19" s="74" t="s">
        <v>295</v>
      </c>
      <c r="F19" s="75" t="s">
        <v>229</v>
      </c>
      <c r="G19" s="72" t="n">
        <v>0.25</v>
      </c>
      <c r="H19" s="74" t="s">
        <v>296</v>
      </c>
      <c r="I19" s="76" t="s">
        <v>297</v>
      </c>
      <c r="J19" s="72" t="s">
        <v>298</v>
      </c>
      <c r="K19" s="75" t="s">
        <v>262</v>
      </c>
      <c r="L19" s="77" t="s">
        <v>267</v>
      </c>
      <c r="M19" s="73" t="s">
        <v>299</v>
      </c>
    </row>
    <row r="20" customFormat="false" ht="27.75" hidden="false" customHeight="true" outlineLevel="0" collapsed="false">
      <c r="A20" s="70" t="n">
        <v>17</v>
      </c>
      <c r="B20" s="71" t="n">
        <v>7.25</v>
      </c>
      <c r="C20" s="72" t="n">
        <v>7</v>
      </c>
      <c r="D20" s="73" t="s">
        <v>300</v>
      </c>
      <c r="E20" s="74" t="s">
        <v>300</v>
      </c>
      <c r="F20" s="75" t="s">
        <v>229</v>
      </c>
      <c r="G20" s="72" t="n">
        <v>0.25</v>
      </c>
      <c r="H20" s="74" t="s">
        <v>301</v>
      </c>
      <c r="I20" s="76" t="s">
        <v>302</v>
      </c>
      <c r="J20" s="72" t="s">
        <v>238</v>
      </c>
      <c r="K20" s="75" t="s">
        <v>262</v>
      </c>
      <c r="L20" s="77" t="s">
        <v>267</v>
      </c>
      <c r="M20" s="73" t="s">
        <v>303</v>
      </c>
    </row>
    <row r="21" customFormat="false" ht="27.75" hidden="false" customHeight="true" outlineLevel="0" collapsed="false">
      <c r="A21" s="70" t="n">
        <v>18</v>
      </c>
      <c r="B21" s="71" t="n">
        <v>7.15</v>
      </c>
      <c r="C21" s="72" t="n">
        <v>7</v>
      </c>
      <c r="D21" s="73" t="s">
        <v>157</v>
      </c>
      <c r="E21" s="74" t="s">
        <v>273</v>
      </c>
      <c r="F21" s="75" t="s">
        <v>229</v>
      </c>
      <c r="G21" s="72" t="n">
        <v>0.25</v>
      </c>
      <c r="H21" s="74" t="s">
        <v>304</v>
      </c>
      <c r="I21" s="76" t="s">
        <v>305</v>
      </c>
      <c r="J21" s="72" t="s">
        <v>244</v>
      </c>
      <c r="K21" s="75" t="s">
        <v>257</v>
      </c>
      <c r="L21" s="77"/>
      <c r="M21" s="73" t="s">
        <v>306</v>
      </c>
    </row>
    <row r="22" customFormat="false" ht="27.75" hidden="false" customHeight="true" outlineLevel="0" collapsed="false">
      <c r="A22" s="70" t="n">
        <v>19</v>
      </c>
      <c r="B22" s="71" t="n">
        <v>7.1</v>
      </c>
      <c r="C22" s="72" t="n">
        <v>7</v>
      </c>
      <c r="D22" s="73" t="s">
        <v>148</v>
      </c>
      <c r="E22" s="74" t="s">
        <v>307</v>
      </c>
      <c r="F22" s="75" t="s">
        <v>229</v>
      </c>
      <c r="G22" s="72" t="n">
        <v>0</v>
      </c>
      <c r="H22" s="74" t="s">
        <v>308</v>
      </c>
      <c r="I22" s="76" t="s">
        <v>309</v>
      </c>
      <c r="J22" s="72" t="s">
        <v>232</v>
      </c>
      <c r="K22" s="75" t="s">
        <v>310</v>
      </c>
      <c r="L22" s="77"/>
      <c r="M22" s="73" t="s">
        <v>311</v>
      </c>
    </row>
    <row r="23" customFormat="false" ht="27.75" hidden="false" customHeight="true" outlineLevel="0" collapsed="false">
      <c r="A23" s="70" t="n">
        <v>20</v>
      </c>
      <c r="B23" s="71" t="n">
        <v>7.05</v>
      </c>
      <c r="C23" s="72" t="n">
        <v>6</v>
      </c>
      <c r="D23" s="73" t="s">
        <v>165</v>
      </c>
      <c r="E23" s="74" t="s">
        <v>276</v>
      </c>
      <c r="F23" s="75" t="s">
        <v>229</v>
      </c>
      <c r="G23" s="72" t="n">
        <v>1.5</v>
      </c>
      <c r="H23" s="74" t="s">
        <v>277</v>
      </c>
      <c r="I23" s="76" t="s">
        <v>312</v>
      </c>
      <c r="J23" s="72" t="s">
        <v>244</v>
      </c>
      <c r="K23" s="75" t="s">
        <v>233</v>
      </c>
      <c r="L23" s="77"/>
      <c r="M23" s="73" t="s">
        <v>313</v>
      </c>
    </row>
    <row r="24" customFormat="false" ht="27.75" hidden="false" customHeight="true" outlineLevel="0" collapsed="false">
      <c r="A24" s="70" t="n">
        <v>21</v>
      </c>
      <c r="B24" s="71" t="n">
        <v>7.05</v>
      </c>
      <c r="C24" s="72" t="n">
        <v>6</v>
      </c>
      <c r="D24" s="73" t="s">
        <v>170</v>
      </c>
      <c r="E24" s="74" t="s">
        <v>314</v>
      </c>
      <c r="F24" s="75" t="s">
        <v>229</v>
      </c>
      <c r="G24" s="72" t="n">
        <v>0.75</v>
      </c>
      <c r="H24" s="74" t="s">
        <v>315</v>
      </c>
      <c r="I24" s="76" t="s">
        <v>316</v>
      </c>
      <c r="J24" s="72" t="s">
        <v>238</v>
      </c>
      <c r="K24" s="75" t="s">
        <v>257</v>
      </c>
      <c r="L24" s="77"/>
      <c r="M24" s="73" t="s">
        <v>317</v>
      </c>
    </row>
    <row r="25" customFormat="false" ht="27.75" hidden="false" customHeight="true" outlineLevel="0" collapsed="false">
      <c r="A25" s="78" t="n">
        <v>22</v>
      </c>
      <c r="B25" s="79" t="n">
        <v>6.9</v>
      </c>
      <c r="C25" s="80" t="n">
        <v>7</v>
      </c>
      <c r="D25" s="81" t="s">
        <v>154</v>
      </c>
      <c r="E25" s="82" t="s">
        <v>318</v>
      </c>
      <c r="F25" s="83" t="s">
        <v>229</v>
      </c>
      <c r="G25" s="80" t="n">
        <v>0.75</v>
      </c>
      <c r="H25" s="82" t="s">
        <v>319</v>
      </c>
      <c r="I25" s="84" t="s">
        <v>320</v>
      </c>
      <c r="J25" s="80" t="s">
        <v>298</v>
      </c>
      <c r="K25" s="83" t="s">
        <v>257</v>
      </c>
      <c r="L25" s="85"/>
      <c r="M25" s="81" t="s">
        <v>321</v>
      </c>
    </row>
    <row r="26" customFormat="false" ht="27.75" hidden="false" customHeight="true" outlineLevel="0" collapsed="false">
      <c r="A26" s="78" t="n">
        <v>23</v>
      </c>
      <c r="B26" s="79" t="n">
        <v>6.9</v>
      </c>
      <c r="C26" s="80" t="n">
        <v>6</v>
      </c>
      <c r="D26" s="81" t="s">
        <v>195</v>
      </c>
      <c r="E26" s="82" t="s">
        <v>322</v>
      </c>
      <c r="F26" s="83" t="s">
        <v>323</v>
      </c>
      <c r="G26" s="80" t="n">
        <v>1.5</v>
      </c>
      <c r="H26" s="82" t="s">
        <v>324</v>
      </c>
      <c r="I26" s="84" t="s">
        <v>325</v>
      </c>
      <c r="J26" s="80" t="s">
        <v>238</v>
      </c>
      <c r="K26" s="83" t="s">
        <v>239</v>
      </c>
      <c r="L26" s="85"/>
      <c r="M26" s="81" t="s">
        <v>326</v>
      </c>
    </row>
    <row r="27" customFormat="false" ht="27.75" hidden="false" customHeight="true" outlineLevel="0" collapsed="false">
      <c r="A27" s="78" t="n">
        <v>24</v>
      </c>
      <c r="B27" s="79" t="n">
        <v>6.7</v>
      </c>
      <c r="C27" s="80" t="n">
        <v>6</v>
      </c>
      <c r="D27" s="81" t="s">
        <v>163</v>
      </c>
      <c r="E27" s="82" t="s">
        <v>327</v>
      </c>
      <c r="F27" s="83" t="s">
        <v>229</v>
      </c>
      <c r="G27" s="80" t="n">
        <v>0.25</v>
      </c>
      <c r="H27" s="82" t="s">
        <v>328</v>
      </c>
      <c r="I27" s="84" t="s">
        <v>329</v>
      </c>
      <c r="J27" s="80" t="s">
        <v>232</v>
      </c>
      <c r="K27" s="83" t="s">
        <v>262</v>
      </c>
      <c r="L27" s="85"/>
      <c r="M27" s="81" t="s">
        <v>330</v>
      </c>
    </row>
    <row r="28" customFormat="false" ht="27.75" hidden="false" customHeight="true" outlineLevel="0" collapsed="false">
      <c r="A28" s="78" t="n">
        <v>25</v>
      </c>
      <c r="B28" s="79" t="n">
        <v>6.55</v>
      </c>
      <c r="C28" s="80" t="n">
        <v>6</v>
      </c>
      <c r="D28" s="81" t="s">
        <v>175</v>
      </c>
      <c r="E28" s="82" t="s">
        <v>175</v>
      </c>
      <c r="F28" s="83" t="s">
        <v>229</v>
      </c>
      <c r="G28" s="80" t="n">
        <v>0.25</v>
      </c>
      <c r="H28" s="82" t="s">
        <v>247</v>
      </c>
      <c r="I28" s="84" t="s">
        <v>331</v>
      </c>
      <c r="J28" s="80" t="s">
        <v>238</v>
      </c>
      <c r="K28" s="83" t="s">
        <v>262</v>
      </c>
      <c r="L28" s="85" t="s">
        <v>267</v>
      </c>
      <c r="M28" s="81" t="s">
        <v>332</v>
      </c>
    </row>
    <row r="29" customFormat="false" ht="27.75" hidden="false" customHeight="true" outlineLevel="0" collapsed="false">
      <c r="A29" s="78" t="n">
        <v>26</v>
      </c>
      <c r="B29" s="79" t="n">
        <v>6.5</v>
      </c>
      <c r="C29" s="80" t="n">
        <v>5</v>
      </c>
      <c r="D29" s="81" t="s">
        <v>333</v>
      </c>
      <c r="E29" s="82" t="s">
        <v>333</v>
      </c>
      <c r="F29" s="83" t="s">
        <v>229</v>
      </c>
      <c r="G29" s="80" t="n">
        <v>1.5</v>
      </c>
      <c r="H29" s="82" t="s">
        <v>334</v>
      </c>
      <c r="I29" s="84" t="s">
        <v>335</v>
      </c>
      <c r="J29" s="80" t="s">
        <v>238</v>
      </c>
      <c r="K29" s="83" t="s">
        <v>239</v>
      </c>
      <c r="L29" s="85" t="s">
        <v>267</v>
      </c>
      <c r="M29" s="81" t="s">
        <v>336</v>
      </c>
    </row>
    <row r="30" customFormat="false" ht="27.75" hidden="false" customHeight="true" outlineLevel="0" collapsed="false">
      <c r="A30" s="78" t="n">
        <v>27</v>
      </c>
      <c r="B30" s="79" t="n">
        <v>6.4</v>
      </c>
      <c r="C30" s="80" t="n">
        <v>7</v>
      </c>
      <c r="D30" s="81" t="s">
        <v>161</v>
      </c>
      <c r="E30" s="82" t="s">
        <v>337</v>
      </c>
      <c r="F30" s="83" t="s">
        <v>229</v>
      </c>
      <c r="G30" s="80" t="n">
        <v>0</v>
      </c>
      <c r="H30" s="82" t="s">
        <v>338</v>
      </c>
      <c r="I30" s="84" t="s">
        <v>339</v>
      </c>
      <c r="J30" s="80" t="s">
        <v>238</v>
      </c>
      <c r="K30" s="83" t="s">
        <v>340</v>
      </c>
      <c r="L30" s="85"/>
      <c r="M30" s="81" t="s">
        <v>341</v>
      </c>
    </row>
    <row r="31" customFormat="false" ht="27.75" hidden="false" customHeight="true" outlineLevel="0" collapsed="false">
      <c r="A31" s="78" t="n">
        <v>28</v>
      </c>
      <c r="B31" s="79" t="n">
        <v>6.1</v>
      </c>
      <c r="C31" s="80" t="n">
        <v>7</v>
      </c>
      <c r="D31" s="81" t="s">
        <v>168</v>
      </c>
      <c r="E31" s="82" t="s">
        <v>342</v>
      </c>
      <c r="F31" s="83" t="s">
        <v>229</v>
      </c>
      <c r="G31" s="80" t="n">
        <v>0.25</v>
      </c>
      <c r="H31" s="82" t="s">
        <v>343</v>
      </c>
      <c r="I31" s="84" t="s">
        <v>344</v>
      </c>
      <c r="J31" s="80" t="s">
        <v>232</v>
      </c>
      <c r="K31" s="83" t="s">
        <v>262</v>
      </c>
      <c r="L31" s="85"/>
      <c r="M31" s="81" t="s">
        <v>345</v>
      </c>
    </row>
    <row r="32" customFormat="false" ht="27.75" hidden="false" customHeight="true" outlineLevel="0" collapsed="false">
      <c r="A32" s="78" t="n">
        <v>29</v>
      </c>
      <c r="B32" s="79" t="n">
        <v>5.75</v>
      </c>
      <c r="C32" s="80" t="n">
        <v>5</v>
      </c>
      <c r="D32" s="81" t="s">
        <v>284</v>
      </c>
      <c r="E32" s="82" t="s">
        <v>284</v>
      </c>
      <c r="F32" s="83" t="s">
        <v>229</v>
      </c>
      <c r="G32" s="80" t="n">
        <v>1.5</v>
      </c>
      <c r="H32" s="82" t="s">
        <v>265</v>
      </c>
      <c r="I32" s="84" t="s">
        <v>346</v>
      </c>
      <c r="J32" s="80" t="s">
        <v>238</v>
      </c>
      <c r="K32" s="83" t="s">
        <v>233</v>
      </c>
      <c r="L32" s="85" t="s">
        <v>267</v>
      </c>
      <c r="M32" s="81" t="s">
        <v>347</v>
      </c>
    </row>
    <row r="33" customFormat="false" ht="27.75" hidden="false" customHeight="true" outlineLevel="0" collapsed="false">
      <c r="A33" s="78" t="n">
        <v>30</v>
      </c>
      <c r="B33" s="79" t="n">
        <v>5.7</v>
      </c>
      <c r="C33" s="80" t="n">
        <v>6</v>
      </c>
      <c r="D33" s="81" t="s">
        <v>154</v>
      </c>
      <c r="E33" s="82" t="s">
        <v>348</v>
      </c>
      <c r="F33" s="83" t="s">
        <v>229</v>
      </c>
      <c r="G33" s="80" t="n">
        <v>1.5</v>
      </c>
      <c r="H33" s="82" t="s">
        <v>349</v>
      </c>
      <c r="I33" s="84" t="s">
        <v>290</v>
      </c>
      <c r="J33" s="80" t="s">
        <v>238</v>
      </c>
      <c r="K33" s="83" t="s">
        <v>239</v>
      </c>
      <c r="L33" s="85"/>
      <c r="M33" s="81" t="s">
        <v>350</v>
      </c>
    </row>
    <row r="34" customFormat="false" ht="27.75" hidden="false" customHeight="true" outlineLevel="0" collapsed="false">
      <c r="A34" s="78" t="n">
        <v>31</v>
      </c>
      <c r="B34" s="79" t="n">
        <v>5.7</v>
      </c>
      <c r="C34" s="80" t="n">
        <v>6</v>
      </c>
      <c r="D34" s="81" t="s">
        <v>157</v>
      </c>
      <c r="E34" s="82" t="s">
        <v>273</v>
      </c>
      <c r="F34" s="83" t="s">
        <v>229</v>
      </c>
      <c r="G34" s="80" t="n">
        <v>0.75</v>
      </c>
      <c r="H34" s="82" t="s">
        <v>304</v>
      </c>
      <c r="I34" s="84" t="s">
        <v>351</v>
      </c>
      <c r="J34" s="80" t="s">
        <v>238</v>
      </c>
      <c r="K34" s="83" t="s">
        <v>239</v>
      </c>
      <c r="L34" s="85"/>
      <c r="M34" s="81" t="s">
        <v>352</v>
      </c>
    </row>
    <row r="35" customFormat="false" ht="27.75" hidden="false" customHeight="true" outlineLevel="0" collapsed="false">
      <c r="A35" s="78" t="n">
        <v>32</v>
      </c>
      <c r="B35" s="79" t="n">
        <v>5.5</v>
      </c>
      <c r="C35" s="80" t="n">
        <v>5</v>
      </c>
      <c r="D35" s="81" t="s">
        <v>353</v>
      </c>
      <c r="E35" s="82" t="s">
        <v>353</v>
      </c>
      <c r="F35" s="83" t="s">
        <v>229</v>
      </c>
      <c r="G35" s="80" t="n">
        <v>0.25</v>
      </c>
      <c r="H35" s="82" t="s">
        <v>354</v>
      </c>
      <c r="I35" s="84" t="s">
        <v>355</v>
      </c>
      <c r="J35" s="80" t="s">
        <v>238</v>
      </c>
      <c r="K35" s="83" t="s">
        <v>262</v>
      </c>
      <c r="L35" s="85" t="s">
        <v>267</v>
      </c>
      <c r="M35" s="81" t="s">
        <v>356</v>
      </c>
    </row>
    <row r="36" customFormat="false" ht="27.75" hidden="false" customHeight="true" outlineLevel="0" collapsed="false">
      <c r="A36" s="78" t="n">
        <v>33</v>
      </c>
      <c r="B36" s="79" t="n">
        <v>5.25</v>
      </c>
      <c r="C36" s="80" t="n">
        <v>5</v>
      </c>
      <c r="D36" s="81" t="s">
        <v>165</v>
      </c>
      <c r="E36" s="82" t="s">
        <v>276</v>
      </c>
      <c r="F36" s="83" t="s">
        <v>229</v>
      </c>
      <c r="G36" s="80" t="n">
        <v>1.5</v>
      </c>
      <c r="H36" s="82" t="s">
        <v>277</v>
      </c>
      <c r="I36" s="84" t="s">
        <v>357</v>
      </c>
      <c r="J36" s="80" t="s">
        <v>298</v>
      </c>
      <c r="K36" s="83" t="s">
        <v>233</v>
      </c>
      <c r="L36" s="85"/>
      <c r="M36" s="81" t="s">
        <v>358</v>
      </c>
    </row>
    <row r="37" customFormat="false" ht="27.75" hidden="false" customHeight="true" outlineLevel="0" collapsed="false">
      <c r="A37" s="78" t="n">
        <v>34</v>
      </c>
      <c r="B37" s="79" t="n">
        <v>5.25</v>
      </c>
      <c r="C37" s="80" t="n">
        <v>8</v>
      </c>
      <c r="D37" s="81" t="s">
        <v>148</v>
      </c>
      <c r="E37" s="82" t="s">
        <v>307</v>
      </c>
      <c r="F37" s="83" t="s">
        <v>229</v>
      </c>
      <c r="G37" s="80" t="n">
        <v>0.75</v>
      </c>
      <c r="H37" s="82" t="s">
        <v>285</v>
      </c>
      <c r="I37" s="84" t="s">
        <v>359</v>
      </c>
      <c r="J37" s="80" t="s">
        <v>232</v>
      </c>
      <c r="K37" s="83" t="s">
        <v>257</v>
      </c>
      <c r="L37" s="85" t="s">
        <v>360</v>
      </c>
      <c r="M37" s="81" t="s">
        <v>361</v>
      </c>
    </row>
    <row r="38" customFormat="false" ht="27.75" hidden="false" customHeight="true" outlineLevel="0" collapsed="false">
      <c r="A38" s="78" t="n">
        <v>35</v>
      </c>
      <c r="B38" s="79" t="n">
        <v>5.15</v>
      </c>
      <c r="C38" s="80" t="n">
        <v>7</v>
      </c>
      <c r="D38" s="81" t="s">
        <v>161</v>
      </c>
      <c r="E38" s="82" t="s">
        <v>362</v>
      </c>
      <c r="F38" s="83" t="s">
        <v>229</v>
      </c>
      <c r="G38" s="80" t="n">
        <v>1.5</v>
      </c>
      <c r="H38" s="82" t="s">
        <v>265</v>
      </c>
      <c r="I38" s="84" t="s">
        <v>363</v>
      </c>
      <c r="J38" s="80" t="s">
        <v>238</v>
      </c>
      <c r="K38" s="83" t="s">
        <v>239</v>
      </c>
      <c r="L38" s="85" t="s">
        <v>360</v>
      </c>
      <c r="M38" s="81" t="s">
        <v>364</v>
      </c>
    </row>
    <row r="39" customFormat="false" ht="27.75" hidden="false" customHeight="true" outlineLevel="0" collapsed="false">
      <c r="A39" s="78" t="n">
        <v>36</v>
      </c>
      <c r="B39" s="79" t="n">
        <v>5</v>
      </c>
      <c r="C39" s="80" t="n">
        <v>8</v>
      </c>
      <c r="D39" s="81" t="s">
        <v>143</v>
      </c>
      <c r="E39" s="82" t="s">
        <v>365</v>
      </c>
      <c r="F39" s="83" t="s">
        <v>229</v>
      </c>
      <c r="G39" s="80" t="n">
        <v>0</v>
      </c>
      <c r="H39" s="82" t="s">
        <v>285</v>
      </c>
      <c r="I39" s="84" t="s">
        <v>366</v>
      </c>
      <c r="J39" s="80" t="s">
        <v>238</v>
      </c>
      <c r="K39" s="83" t="s">
        <v>340</v>
      </c>
      <c r="L39" s="85"/>
      <c r="M39" s="81" t="s">
        <v>367</v>
      </c>
    </row>
    <row r="40" customFormat="false" ht="27.75" hidden="false" customHeight="true" outlineLevel="0" collapsed="false">
      <c r="A40" s="86" t="n">
        <v>37</v>
      </c>
      <c r="B40" s="87" t="n">
        <v>4.95</v>
      </c>
      <c r="C40" s="88" t="n">
        <v>6</v>
      </c>
      <c r="D40" s="89" t="s">
        <v>157</v>
      </c>
      <c r="E40" s="90" t="s">
        <v>246</v>
      </c>
      <c r="F40" s="91" t="s">
        <v>229</v>
      </c>
      <c r="G40" s="88" t="n">
        <v>0.75</v>
      </c>
      <c r="H40" s="90" t="s">
        <v>328</v>
      </c>
      <c r="I40" s="92" t="s">
        <v>368</v>
      </c>
      <c r="J40" s="88" t="s">
        <v>232</v>
      </c>
      <c r="K40" s="91" t="s">
        <v>257</v>
      </c>
      <c r="L40" s="93"/>
      <c r="M40" s="89" t="s">
        <v>369</v>
      </c>
    </row>
    <row r="41" customFormat="false" ht="27.75" hidden="false" customHeight="true" outlineLevel="0" collapsed="false">
      <c r="A41" s="86" t="n">
        <v>38</v>
      </c>
      <c r="B41" s="87" t="n">
        <v>4.9</v>
      </c>
      <c r="C41" s="88" t="n">
        <v>7</v>
      </c>
      <c r="D41" s="89" t="s">
        <v>163</v>
      </c>
      <c r="E41" s="90" t="s">
        <v>370</v>
      </c>
      <c r="F41" s="91" t="s">
        <v>229</v>
      </c>
      <c r="G41" s="88" t="n">
        <v>0</v>
      </c>
      <c r="H41" s="90" t="s">
        <v>255</v>
      </c>
      <c r="I41" s="92" t="s">
        <v>371</v>
      </c>
      <c r="J41" s="88" t="s">
        <v>244</v>
      </c>
      <c r="K41" s="91" t="s">
        <v>372</v>
      </c>
      <c r="L41" s="93"/>
      <c r="M41" s="89" t="s">
        <v>373</v>
      </c>
    </row>
    <row r="42" customFormat="false" ht="27.75" hidden="false" customHeight="true" outlineLevel="0" collapsed="false">
      <c r="A42" s="86" t="n">
        <v>39</v>
      </c>
      <c r="B42" s="87" t="n">
        <v>4.75</v>
      </c>
      <c r="C42" s="88" t="n">
        <v>5</v>
      </c>
      <c r="D42" s="89" t="s">
        <v>197</v>
      </c>
      <c r="E42" s="90" t="s">
        <v>374</v>
      </c>
      <c r="F42" s="91" t="s">
        <v>323</v>
      </c>
      <c r="G42" s="88" t="n">
        <v>0.75</v>
      </c>
      <c r="H42" s="90" t="s">
        <v>375</v>
      </c>
      <c r="I42" s="92" t="s">
        <v>376</v>
      </c>
      <c r="J42" s="88" t="s">
        <v>244</v>
      </c>
      <c r="K42" s="91" t="s">
        <v>257</v>
      </c>
      <c r="L42" s="93"/>
      <c r="M42" s="89" t="s">
        <v>377</v>
      </c>
    </row>
    <row r="43" customFormat="false" ht="27.75" hidden="false" customHeight="true" outlineLevel="0" collapsed="false">
      <c r="A43" s="86" t="n">
        <v>40</v>
      </c>
      <c r="B43" s="87" t="n">
        <v>4.6</v>
      </c>
      <c r="C43" s="88" t="n">
        <v>7</v>
      </c>
      <c r="D43" s="89" t="s">
        <v>170</v>
      </c>
      <c r="E43" s="90" t="s">
        <v>378</v>
      </c>
      <c r="F43" s="91" t="s">
        <v>229</v>
      </c>
      <c r="G43" s="88" t="n">
        <v>0</v>
      </c>
      <c r="H43" s="90" t="s">
        <v>308</v>
      </c>
      <c r="I43" s="92" t="s">
        <v>379</v>
      </c>
      <c r="J43" s="88" t="s">
        <v>238</v>
      </c>
      <c r="K43" s="91" t="s">
        <v>340</v>
      </c>
      <c r="L43" s="93"/>
      <c r="M43" s="89" t="s">
        <v>380</v>
      </c>
    </row>
    <row r="44" customFormat="false" ht="27.75" hidden="false" customHeight="true" outlineLevel="0" collapsed="false">
      <c r="A44" s="86" t="n">
        <v>41</v>
      </c>
      <c r="B44" s="87" t="n">
        <v>4.35</v>
      </c>
      <c r="C44" s="88" t="n">
        <v>8</v>
      </c>
      <c r="D44" s="89" t="s">
        <v>161</v>
      </c>
      <c r="E44" s="90" t="s">
        <v>381</v>
      </c>
      <c r="F44" s="91" t="s">
        <v>229</v>
      </c>
      <c r="G44" s="88" t="n">
        <v>0.25</v>
      </c>
      <c r="H44" s="90" t="s">
        <v>382</v>
      </c>
      <c r="I44" s="92" t="s">
        <v>383</v>
      </c>
      <c r="J44" s="88" t="s">
        <v>238</v>
      </c>
      <c r="K44" s="91" t="s">
        <v>262</v>
      </c>
      <c r="L44" s="93" t="s">
        <v>360</v>
      </c>
      <c r="M44" s="89" t="s">
        <v>384</v>
      </c>
    </row>
    <row r="45" customFormat="false" ht="27.75" hidden="false" customHeight="true" outlineLevel="0" collapsed="false">
      <c r="A45" s="86" t="n">
        <v>42</v>
      </c>
      <c r="B45" s="87" t="n">
        <v>4.35</v>
      </c>
      <c r="C45" s="88" t="n">
        <v>4</v>
      </c>
      <c r="D45" s="89" t="s">
        <v>195</v>
      </c>
      <c r="E45" s="90" t="s">
        <v>385</v>
      </c>
      <c r="F45" s="91" t="s">
        <v>323</v>
      </c>
      <c r="G45" s="88" t="n">
        <v>1.5</v>
      </c>
      <c r="H45" s="90" t="s">
        <v>386</v>
      </c>
      <c r="I45" s="92" t="s">
        <v>290</v>
      </c>
      <c r="J45" s="88" t="s">
        <v>238</v>
      </c>
      <c r="K45" s="91" t="s">
        <v>239</v>
      </c>
      <c r="L45" s="93"/>
      <c r="M45" s="89" t="s">
        <v>387</v>
      </c>
    </row>
    <row r="46" customFormat="false" ht="27.75" hidden="false" customHeight="true" outlineLevel="0" collapsed="false">
      <c r="A46" s="86" t="n">
        <v>43</v>
      </c>
      <c r="B46" s="87" t="n">
        <v>4.2</v>
      </c>
      <c r="C46" s="88" t="n">
        <v>3</v>
      </c>
      <c r="D46" s="89" t="s">
        <v>207</v>
      </c>
      <c r="E46" s="90"/>
      <c r="F46" s="91" t="s">
        <v>323</v>
      </c>
      <c r="G46" s="88" t="n">
        <v>1.5</v>
      </c>
      <c r="H46" s="90" t="s">
        <v>277</v>
      </c>
      <c r="I46" s="92" t="s">
        <v>388</v>
      </c>
      <c r="J46" s="88" t="s">
        <v>298</v>
      </c>
      <c r="K46" s="91" t="s">
        <v>239</v>
      </c>
      <c r="L46" s="93"/>
      <c r="M46" s="89" t="s">
        <v>389</v>
      </c>
    </row>
    <row r="47" customFormat="false" ht="27.75" hidden="false" customHeight="true" outlineLevel="0" collapsed="false">
      <c r="A47" s="86" t="n">
        <v>44</v>
      </c>
      <c r="B47" s="87" t="n">
        <v>4</v>
      </c>
      <c r="C47" s="88" t="n">
        <v>4</v>
      </c>
      <c r="D47" s="89" t="s">
        <v>264</v>
      </c>
      <c r="E47" s="90" t="s">
        <v>264</v>
      </c>
      <c r="F47" s="91" t="s">
        <v>229</v>
      </c>
      <c r="G47" s="88" t="n">
        <v>0.75</v>
      </c>
      <c r="H47" s="90" t="s">
        <v>390</v>
      </c>
      <c r="I47" s="92" t="s">
        <v>290</v>
      </c>
      <c r="J47" s="88" t="s">
        <v>238</v>
      </c>
      <c r="K47" s="91" t="s">
        <v>257</v>
      </c>
      <c r="L47" s="93" t="s">
        <v>267</v>
      </c>
      <c r="M47" s="89" t="s">
        <v>391</v>
      </c>
    </row>
    <row r="48" customFormat="false" ht="27.75" hidden="false" customHeight="true" outlineLevel="0" collapsed="false">
      <c r="A48" s="86" t="n">
        <v>45</v>
      </c>
      <c r="B48" s="87" t="n">
        <v>4</v>
      </c>
      <c r="C48" s="88" t="n">
        <v>8</v>
      </c>
      <c r="D48" s="89" t="s">
        <v>392</v>
      </c>
      <c r="E48" s="90" t="s">
        <v>392</v>
      </c>
      <c r="F48" s="91" t="s">
        <v>229</v>
      </c>
      <c r="G48" s="88" t="n">
        <v>0</v>
      </c>
      <c r="H48" s="90" t="s">
        <v>265</v>
      </c>
      <c r="I48" s="92" t="s">
        <v>393</v>
      </c>
      <c r="J48" s="88" t="s">
        <v>238</v>
      </c>
      <c r="K48" s="91" t="s">
        <v>394</v>
      </c>
      <c r="L48" s="93" t="s">
        <v>267</v>
      </c>
      <c r="M48" s="89" t="s">
        <v>395</v>
      </c>
    </row>
    <row r="49" customFormat="false" ht="27.75" hidden="false" customHeight="true" outlineLevel="0" collapsed="false">
      <c r="A49" s="86" t="n">
        <v>46</v>
      </c>
      <c r="B49" s="87" t="n">
        <v>3.65</v>
      </c>
      <c r="C49" s="88" t="n">
        <v>7</v>
      </c>
      <c r="D49" s="89" t="s">
        <v>163</v>
      </c>
      <c r="E49" s="90" t="s">
        <v>396</v>
      </c>
      <c r="F49" s="91" t="s">
        <v>229</v>
      </c>
      <c r="G49" s="88" t="n">
        <v>1.5</v>
      </c>
      <c r="H49" s="90" t="s">
        <v>397</v>
      </c>
      <c r="I49" s="92" t="s">
        <v>398</v>
      </c>
      <c r="J49" s="88" t="s">
        <v>244</v>
      </c>
      <c r="K49" s="91" t="s">
        <v>239</v>
      </c>
      <c r="L49" s="93" t="s">
        <v>360</v>
      </c>
      <c r="M49" s="89" t="s">
        <v>399</v>
      </c>
    </row>
    <row r="50" customFormat="false" ht="27.75" hidden="false" customHeight="true" outlineLevel="0" collapsed="false">
      <c r="A50" s="86" t="n">
        <v>47</v>
      </c>
      <c r="B50" s="87" t="n">
        <v>3.6</v>
      </c>
      <c r="C50" s="88" t="n">
        <v>7</v>
      </c>
      <c r="D50" s="89" t="s">
        <v>148</v>
      </c>
      <c r="E50" s="90" t="s">
        <v>307</v>
      </c>
      <c r="F50" s="91" t="s">
        <v>229</v>
      </c>
      <c r="G50" s="88" t="n">
        <v>0</v>
      </c>
      <c r="H50" s="90" t="s">
        <v>400</v>
      </c>
      <c r="I50" s="92" t="s">
        <v>401</v>
      </c>
      <c r="J50" s="88" t="s">
        <v>232</v>
      </c>
      <c r="K50" s="91" t="s">
        <v>402</v>
      </c>
      <c r="L50" s="93"/>
      <c r="M50" s="89" t="s">
        <v>403</v>
      </c>
    </row>
    <row r="51" customFormat="false" ht="27.75" hidden="false" customHeight="true" outlineLevel="0" collapsed="false">
      <c r="A51" s="86" t="n">
        <v>48</v>
      </c>
      <c r="B51" s="87" t="n">
        <v>3.5</v>
      </c>
      <c r="C51" s="88" t="n">
        <v>2</v>
      </c>
      <c r="D51" s="89" t="s">
        <v>404</v>
      </c>
      <c r="E51" s="90" t="s">
        <v>404</v>
      </c>
      <c r="F51" s="91" t="s">
        <v>229</v>
      </c>
      <c r="G51" s="88" t="n">
        <v>1.5</v>
      </c>
      <c r="H51" s="90" t="s">
        <v>324</v>
      </c>
      <c r="I51" s="92" t="s">
        <v>405</v>
      </c>
      <c r="J51" s="88" t="s">
        <v>238</v>
      </c>
      <c r="K51" s="91" t="s">
        <v>239</v>
      </c>
      <c r="L51" s="93" t="s">
        <v>267</v>
      </c>
      <c r="M51" s="89" t="s">
        <v>406</v>
      </c>
    </row>
    <row r="52" customFormat="false" ht="27.75" hidden="false" customHeight="true" outlineLevel="0" collapsed="false">
      <c r="A52" s="86" t="n">
        <v>49</v>
      </c>
      <c r="B52" s="87" t="n">
        <v>3.35</v>
      </c>
      <c r="C52" s="88" t="n">
        <v>7</v>
      </c>
      <c r="D52" s="89" t="s">
        <v>407</v>
      </c>
      <c r="E52" s="90" t="s">
        <v>407</v>
      </c>
      <c r="F52" s="91" t="s">
        <v>229</v>
      </c>
      <c r="G52" s="88" t="n">
        <v>0</v>
      </c>
      <c r="H52" s="90" t="s">
        <v>408</v>
      </c>
      <c r="I52" s="92" t="s">
        <v>409</v>
      </c>
      <c r="J52" s="88" t="s">
        <v>238</v>
      </c>
      <c r="K52" s="91" t="s">
        <v>402</v>
      </c>
      <c r="L52" s="93" t="s">
        <v>267</v>
      </c>
      <c r="M52" s="89" t="s">
        <v>410</v>
      </c>
    </row>
    <row r="53" customFormat="false" ht="27.75" hidden="false" customHeight="true" outlineLevel="0" collapsed="false">
      <c r="A53" s="86" t="n">
        <v>50</v>
      </c>
      <c r="B53" s="87" t="n">
        <v>3.3</v>
      </c>
      <c r="C53" s="88" t="n">
        <v>4</v>
      </c>
      <c r="D53" s="89" t="s">
        <v>161</v>
      </c>
      <c r="E53" s="90" t="s">
        <v>411</v>
      </c>
      <c r="F53" s="91" t="s">
        <v>229</v>
      </c>
      <c r="G53" s="88" t="n">
        <v>0.75</v>
      </c>
      <c r="H53" s="90" t="s">
        <v>412</v>
      </c>
      <c r="I53" s="92" t="s">
        <v>413</v>
      </c>
      <c r="J53" s="88" t="s">
        <v>238</v>
      </c>
      <c r="K53" s="91" t="s">
        <v>257</v>
      </c>
      <c r="L53" s="93"/>
      <c r="M53" s="89" t="s">
        <v>414</v>
      </c>
    </row>
    <row r="54" customFormat="false" ht="27.75" hidden="false" customHeight="true" outlineLevel="0" collapsed="false">
      <c r="A54" s="86" t="n">
        <v>51</v>
      </c>
      <c r="B54" s="87" t="n">
        <v>3.25</v>
      </c>
      <c r="C54" s="88" t="n">
        <v>6</v>
      </c>
      <c r="D54" s="89" t="s">
        <v>295</v>
      </c>
      <c r="E54" s="90" t="s">
        <v>295</v>
      </c>
      <c r="F54" s="91" t="s">
        <v>229</v>
      </c>
      <c r="G54" s="88" t="n">
        <v>0</v>
      </c>
      <c r="H54" s="90" t="s">
        <v>304</v>
      </c>
      <c r="I54" s="92" t="s">
        <v>415</v>
      </c>
      <c r="J54" s="88" t="s">
        <v>244</v>
      </c>
      <c r="K54" s="91" t="s">
        <v>340</v>
      </c>
      <c r="L54" s="93" t="s">
        <v>267</v>
      </c>
      <c r="M54" s="89" t="s">
        <v>416</v>
      </c>
    </row>
    <row r="55" customFormat="false" ht="27.75" hidden="false" customHeight="true" outlineLevel="0" collapsed="false">
      <c r="A55" s="86" t="n">
        <v>52</v>
      </c>
      <c r="B55" s="87" t="n">
        <v>3.25</v>
      </c>
      <c r="C55" s="88" t="n">
        <v>6</v>
      </c>
      <c r="D55" s="89" t="s">
        <v>300</v>
      </c>
      <c r="E55" s="90" t="s">
        <v>300</v>
      </c>
      <c r="F55" s="91" t="s">
        <v>229</v>
      </c>
      <c r="G55" s="88" t="n">
        <v>0</v>
      </c>
      <c r="H55" s="90" t="s">
        <v>417</v>
      </c>
      <c r="I55" s="92" t="s">
        <v>418</v>
      </c>
      <c r="J55" s="88" t="s">
        <v>298</v>
      </c>
      <c r="K55" s="91" t="s">
        <v>372</v>
      </c>
      <c r="L55" s="93" t="s">
        <v>267</v>
      </c>
      <c r="M55" s="89" t="s">
        <v>419</v>
      </c>
    </row>
    <row r="56" customFormat="false" ht="27.75" hidden="false" customHeight="true" outlineLevel="0" collapsed="false">
      <c r="A56" s="86" t="n">
        <v>53</v>
      </c>
      <c r="B56" s="87" t="n">
        <v>3</v>
      </c>
      <c r="C56" s="88" t="n">
        <v>7</v>
      </c>
      <c r="D56" s="89" t="s">
        <v>420</v>
      </c>
      <c r="E56" s="90" t="s">
        <v>420</v>
      </c>
      <c r="F56" s="91" t="s">
        <v>229</v>
      </c>
      <c r="G56" s="88" t="n">
        <v>0</v>
      </c>
      <c r="H56" s="90" t="s">
        <v>343</v>
      </c>
      <c r="I56" s="92" t="s">
        <v>290</v>
      </c>
      <c r="J56" s="88" t="s">
        <v>238</v>
      </c>
      <c r="K56" s="91" t="s">
        <v>421</v>
      </c>
      <c r="L56" s="93" t="s">
        <v>267</v>
      </c>
      <c r="M56" s="89" t="s">
        <v>422</v>
      </c>
    </row>
    <row r="57" customFormat="false" ht="27.75" hidden="false" customHeight="true" outlineLevel="0" collapsed="false">
      <c r="A57" s="86" t="n">
        <v>54</v>
      </c>
      <c r="B57" s="87" t="n">
        <v>2.85</v>
      </c>
      <c r="C57" s="88" t="n">
        <v>7</v>
      </c>
      <c r="D57" s="89" t="s">
        <v>148</v>
      </c>
      <c r="E57" s="90" t="s">
        <v>423</v>
      </c>
      <c r="F57" s="91" t="s">
        <v>229</v>
      </c>
      <c r="G57" s="88" t="n">
        <v>0</v>
      </c>
      <c r="H57" s="90" t="s">
        <v>424</v>
      </c>
      <c r="I57" s="92" t="s">
        <v>425</v>
      </c>
      <c r="J57" s="88" t="s">
        <v>238</v>
      </c>
      <c r="K57" s="91" t="s">
        <v>426</v>
      </c>
      <c r="L57" s="93"/>
      <c r="M57" s="89" t="s">
        <v>427</v>
      </c>
    </row>
    <row r="58" customFormat="false" ht="27.75" hidden="false" customHeight="true" outlineLevel="0" collapsed="false">
      <c r="A58" s="86" t="n">
        <v>55</v>
      </c>
      <c r="B58" s="87" t="n">
        <v>2.75</v>
      </c>
      <c r="C58" s="88" t="n">
        <v>2</v>
      </c>
      <c r="D58" s="89" t="s">
        <v>188</v>
      </c>
      <c r="E58" s="90" t="s">
        <v>188</v>
      </c>
      <c r="F58" s="91" t="s">
        <v>229</v>
      </c>
      <c r="G58" s="88" t="n">
        <v>0.75</v>
      </c>
      <c r="H58" s="90" t="s">
        <v>298</v>
      </c>
      <c r="I58" s="92" t="s">
        <v>428</v>
      </c>
      <c r="J58" s="88" t="s">
        <v>298</v>
      </c>
      <c r="K58" s="91" t="s">
        <v>257</v>
      </c>
      <c r="L58" s="93" t="s">
        <v>267</v>
      </c>
      <c r="M58" s="89" t="s">
        <v>429</v>
      </c>
    </row>
    <row r="59" customFormat="false" ht="27.75" hidden="false" customHeight="true" outlineLevel="0" collapsed="false">
      <c r="A59" s="86" t="n">
        <v>56</v>
      </c>
      <c r="B59" s="87" t="n">
        <v>2.6</v>
      </c>
      <c r="C59" s="88" t="n">
        <v>8</v>
      </c>
      <c r="D59" s="89" t="s">
        <v>163</v>
      </c>
      <c r="E59" s="90" t="s">
        <v>430</v>
      </c>
      <c r="F59" s="91" t="s">
        <v>229</v>
      </c>
      <c r="G59" s="88" t="n">
        <v>0</v>
      </c>
      <c r="H59" s="90" t="s">
        <v>265</v>
      </c>
      <c r="I59" s="92" t="s">
        <v>431</v>
      </c>
      <c r="J59" s="88" t="s">
        <v>244</v>
      </c>
      <c r="K59" s="91" t="s">
        <v>432</v>
      </c>
      <c r="L59" s="93"/>
      <c r="M59" s="89" t="s">
        <v>433</v>
      </c>
    </row>
    <row r="60" customFormat="false" ht="27.75" hidden="false" customHeight="true" outlineLevel="0" collapsed="false">
      <c r="A60" s="86" t="n">
        <v>57</v>
      </c>
      <c r="B60" s="87" t="n">
        <v>2.6</v>
      </c>
      <c r="C60" s="88" t="n">
        <v>7</v>
      </c>
      <c r="D60" s="89" t="s">
        <v>353</v>
      </c>
      <c r="E60" s="90" t="s">
        <v>353</v>
      </c>
      <c r="F60" s="91" t="s">
        <v>229</v>
      </c>
      <c r="G60" s="88" t="n">
        <v>0</v>
      </c>
      <c r="H60" s="90" t="s">
        <v>247</v>
      </c>
      <c r="I60" s="92" t="s">
        <v>434</v>
      </c>
      <c r="J60" s="88" t="s">
        <v>244</v>
      </c>
      <c r="K60" s="91" t="s">
        <v>394</v>
      </c>
      <c r="L60" s="93" t="s">
        <v>267</v>
      </c>
      <c r="M60" s="89" t="s">
        <v>435</v>
      </c>
    </row>
    <row r="61" customFormat="false" ht="27.75" hidden="false" customHeight="true" outlineLevel="0" collapsed="false">
      <c r="A61" s="86" t="n">
        <v>58</v>
      </c>
      <c r="B61" s="87" t="n">
        <v>2.55</v>
      </c>
      <c r="C61" s="88" t="n">
        <v>2</v>
      </c>
      <c r="D61" s="89" t="s">
        <v>207</v>
      </c>
      <c r="E61" s="90"/>
      <c r="F61" s="91" t="s">
        <v>323</v>
      </c>
      <c r="G61" s="88" t="n">
        <v>1.5</v>
      </c>
      <c r="H61" s="90" t="s">
        <v>277</v>
      </c>
      <c r="I61" s="92" t="s">
        <v>436</v>
      </c>
      <c r="J61" s="88" t="s">
        <v>298</v>
      </c>
      <c r="K61" s="91" t="s">
        <v>233</v>
      </c>
      <c r="L61" s="93"/>
      <c r="M61" s="89" t="s">
        <v>437</v>
      </c>
    </row>
    <row r="62" customFormat="false" ht="27.75" hidden="false" customHeight="true" outlineLevel="0" collapsed="false">
      <c r="A62" s="86" t="n">
        <v>59</v>
      </c>
      <c r="B62" s="87" t="n">
        <v>2.25</v>
      </c>
      <c r="C62" s="88" t="n">
        <v>7</v>
      </c>
      <c r="D62" s="89" t="s">
        <v>392</v>
      </c>
      <c r="E62" s="90" t="s">
        <v>392</v>
      </c>
      <c r="F62" s="91" t="s">
        <v>229</v>
      </c>
      <c r="G62" s="88" t="n">
        <v>0</v>
      </c>
      <c r="H62" s="90" t="s">
        <v>255</v>
      </c>
      <c r="I62" s="92" t="s">
        <v>438</v>
      </c>
      <c r="J62" s="88" t="s">
        <v>244</v>
      </c>
      <c r="K62" s="91" t="s">
        <v>426</v>
      </c>
      <c r="L62" s="93" t="s">
        <v>267</v>
      </c>
      <c r="M62" s="89" t="s">
        <v>439</v>
      </c>
    </row>
    <row r="63" customFormat="false" ht="27.75" hidden="false" customHeight="true" outlineLevel="0" collapsed="false">
      <c r="A63" s="86" t="n">
        <v>60</v>
      </c>
      <c r="B63" s="87" t="n">
        <v>2.25</v>
      </c>
      <c r="C63" s="88" t="n">
        <v>2</v>
      </c>
      <c r="D63" s="89" t="s">
        <v>177</v>
      </c>
      <c r="E63" s="90" t="s">
        <v>177</v>
      </c>
      <c r="F63" s="91" t="s">
        <v>229</v>
      </c>
      <c r="G63" s="88" t="n">
        <v>0.25</v>
      </c>
      <c r="H63" s="90" t="s">
        <v>440</v>
      </c>
      <c r="I63" s="92" t="s">
        <v>441</v>
      </c>
      <c r="J63" s="88" t="s">
        <v>238</v>
      </c>
      <c r="K63" s="91" t="s">
        <v>257</v>
      </c>
      <c r="L63" s="93" t="s">
        <v>267</v>
      </c>
      <c r="M63" s="89" t="s">
        <v>442</v>
      </c>
    </row>
    <row r="64" customFormat="false" ht="27.75" hidden="false" customHeight="true" outlineLevel="0" collapsed="false">
      <c r="A64" s="86" t="n">
        <v>61</v>
      </c>
      <c r="B64" s="87" t="n">
        <v>2.25</v>
      </c>
      <c r="C64" s="88" t="n">
        <v>2</v>
      </c>
      <c r="D64" s="89" t="s">
        <v>443</v>
      </c>
      <c r="E64" s="90" t="s">
        <v>443</v>
      </c>
      <c r="F64" s="91" t="s">
        <v>229</v>
      </c>
      <c r="G64" s="88" t="n">
        <v>0.25</v>
      </c>
      <c r="H64" s="90" t="s">
        <v>386</v>
      </c>
      <c r="I64" s="92" t="s">
        <v>290</v>
      </c>
      <c r="J64" s="88" t="s">
        <v>238</v>
      </c>
      <c r="K64" s="91" t="s">
        <v>262</v>
      </c>
      <c r="L64" s="93" t="s">
        <v>267</v>
      </c>
      <c r="M64" s="89" t="s">
        <v>444</v>
      </c>
    </row>
    <row r="65" customFormat="false" ht="27.75" hidden="false" customHeight="true" outlineLevel="0" collapsed="false">
      <c r="A65" s="86" t="n">
        <v>62</v>
      </c>
      <c r="B65" s="87" t="n">
        <v>2.25</v>
      </c>
      <c r="C65" s="88" t="n">
        <v>2</v>
      </c>
      <c r="D65" s="89" t="s">
        <v>445</v>
      </c>
      <c r="E65" s="90" t="s">
        <v>445</v>
      </c>
      <c r="F65" s="91" t="s">
        <v>229</v>
      </c>
      <c r="G65" s="88" t="n">
        <v>0.25</v>
      </c>
      <c r="H65" s="90" t="s">
        <v>446</v>
      </c>
      <c r="I65" s="92" t="s">
        <v>447</v>
      </c>
      <c r="J65" s="88" t="s">
        <v>238</v>
      </c>
      <c r="K65" s="91" t="s">
        <v>257</v>
      </c>
      <c r="L65" s="93" t="s">
        <v>267</v>
      </c>
      <c r="M65" s="89" t="s">
        <v>448</v>
      </c>
    </row>
    <row r="66" customFormat="false" ht="27.75" hidden="false" customHeight="true" outlineLevel="0" collapsed="false">
      <c r="A66" s="86" t="n">
        <v>63</v>
      </c>
      <c r="B66" s="87" t="n">
        <v>1.85</v>
      </c>
      <c r="C66" s="88" t="n">
        <v>7</v>
      </c>
      <c r="D66" s="89" t="s">
        <v>170</v>
      </c>
      <c r="E66" s="90" t="s">
        <v>449</v>
      </c>
      <c r="F66" s="91" t="s">
        <v>229</v>
      </c>
      <c r="G66" s="88" t="n">
        <v>0</v>
      </c>
      <c r="H66" s="90" t="s">
        <v>450</v>
      </c>
      <c r="I66" s="92" t="s">
        <v>451</v>
      </c>
      <c r="J66" s="88" t="s">
        <v>238</v>
      </c>
      <c r="K66" s="91" t="s">
        <v>402</v>
      </c>
      <c r="L66" s="93"/>
      <c r="M66" s="89" t="s">
        <v>452</v>
      </c>
    </row>
    <row r="67" customFormat="false" ht="27.75" hidden="false" customHeight="true" outlineLevel="0" collapsed="false">
      <c r="A67" s="86" t="n">
        <v>64</v>
      </c>
      <c r="B67" s="87" t="n">
        <v>1.8</v>
      </c>
      <c r="C67" s="88" t="n">
        <v>2</v>
      </c>
      <c r="D67" s="89" t="s">
        <v>211</v>
      </c>
      <c r="E67" s="90"/>
      <c r="F67" s="91" t="s">
        <v>323</v>
      </c>
      <c r="G67" s="88" t="n">
        <v>0.75</v>
      </c>
      <c r="H67" s="90" t="s">
        <v>298</v>
      </c>
      <c r="I67" s="92" t="s">
        <v>290</v>
      </c>
      <c r="J67" s="88" t="s">
        <v>298</v>
      </c>
      <c r="K67" s="91" t="s">
        <v>257</v>
      </c>
      <c r="L67" s="93"/>
      <c r="M67" s="89" t="s">
        <v>453</v>
      </c>
    </row>
    <row r="68" customFormat="false" ht="27.75" hidden="false" customHeight="true" outlineLevel="0" collapsed="false">
      <c r="A68" s="86" t="n">
        <v>65</v>
      </c>
      <c r="B68" s="87" t="n">
        <v>1.75</v>
      </c>
      <c r="C68" s="88" t="n">
        <v>5</v>
      </c>
      <c r="D68" s="89" t="s">
        <v>175</v>
      </c>
      <c r="E68" s="90" t="s">
        <v>175</v>
      </c>
      <c r="F68" s="91" t="s">
        <v>229</v>
      </c>
      <c r="G68" s="88" t="n">
        <v>0</v>
      </c>
      <c r="H68" s="90" t="s">
        <v>390</v>
      </c>
      <c r="I68" s="92" t="s">
        <v>454</v>
      </c>
      <c r="J68" s="88" t="s">
        <v>232</v>
      </c>
      <c r="K68" s="91" t="s">
        <v>310</v>
      </c>
      <c r="L68" s="93" t="s">
        <v>267</v>
      </c>
      <c r="M68" s="89" t="s">
        <v>455</v>
      </c>
    </row>
    <row r="69" customFormat="false" ht="27.75" hidden="false" customHeight="true" outlineLevel="0" collapsed="false">
      <c r="A69" s="86" t="n">
        <v>66</v>
      </c>
      <c r="B69" s="87" t="n">
        <v>1.4</v>
      </c>
      <c r="C69" s="88" t="n">
        <v>7</v>
      </c>
      <c r="D69" s="89" t="s">
        <v>161</v>
      </c>
      <c r="E69" s="90" t="s">
        <v>456</v>
      </c>
      <c r="F69" s="91" t="s">
        <v>229</v>
      </c>
      <c r="G69" s="88" t="n">
        <v>0</v>
      </c>
      <c r="H69" s="90" t="s">
        <v>400</v>
      </c>
      <c r="I69" s="92" t="s">
        <v>457</v>
      </c>
      <c r="J69" s="88" t="s">
        <v>238</v>
      </c>
      <c r="K69" s="91" t="s">
        <v>432</v>
      </c>
      <c r="L69" s="93"/>
      <c r="M69" s="89" t="s">
        <v>458</v>
      </c>
    </row>
    <row r="70" customFormat="false" ht="27.75" hidden="false" customHeight="true" outlineLevel="0" collapsed="false">
      <c r="A70" s="86" t="n">
        <v>67</v>
      </c>
      <c r="B70" s="87" t="n">
        <v>1.25</v>
      </c>
      <c r="C70" s="88" t="n">
        <v>6</v>
      </c>
      <c r="D70" s="89" t="s">
        <v>177</v>
      </c>
      <c r="E70" s="90" t="s">
        <v>177</v>
      </c>
      <c r="F70" s="91" t="s">
        <v>229</v>
      </c>
      <c r="G70" s="88" t="n">
        <v>0</v>
      </c>
      <c r="H70" s="90" t="s">
        <v>459</v>
      </c>
      <c r="I70" s="92" t="s">
        <v>460</v>
      </c>
      <c r="J70" s="88" t="s">
        <v>238</v>
      </c>
      <c r="K70" s="91" t="s">
        <v>461</v>
      </c>
      <c r="L70" s="93" t="s">
        <v>267</v>
      </c>
      <c r="M70" s="89" t="s">
        <v>462</v>
      </c>
    </row>
    <row r="71" customFormat="false" ht="27.75" hidden="false" customHeight="true" outlineLevel="0" collapsed="false">
      <c r="A71" s="86" t="n">
        <v>68</v>
      </c>
      <c r="B71" s="87" t="n">
        <v>1</v>
      </c>
      <c r="C71" s="88" t="n">
        <v>5</v>
      </c>
      <c r="D71" s="89" t="s">
        <v>197</v>
      </c>
      <c r="E71" s="90" t="s">
        <v>463</v>
      </c>
      <c r="F71" s="91" t="s">
        <v>323</v>
      </c>
      <c r="G71" s="88" t="n">
        <v>0.75</v>
      </c>
      <c r="H71" s="90" t="s">
        <v>375</v>
      </c>
      <c r="I71" s="92" t="s">
        <v>376</v>
      </c>
      <c r="J71" s="88" t="s">
        <v>244</v>
      </c>
      <c r="K71" s="91" t="s">
        <v>257</v>
      </c>
      <c r="L71" s="93" t="s">
        <v>464</v>
      </c>
      <c r="M71" s="89" t="s">
        <v>465</v>
      </c>
    </row>
    <row r="72" customFormat="false" ht="27.75" hidden="false" customHeight="true" outlineLevel="0" collapsed="false">
      <c r="A72" s="86" t="n">
        <v>69</v>
      </c>
      <c r="B72" s="87" t="n">
        <v>1</v>
      </c>
      <c r="C72" s="88" t="n">
        <v>8</v>
      </c>
      <c r="D72" s="89" t="s">
        <v>148</v>
      </c>
      <c r="E72" s="90" t="s">
        <v>466</v>
      </c>
      <c r="F72" s="91" t="s">
        <v>229</v>
      </c>
      <c r="G72" s="88" t="n">
        <v>0</v>
      </c>
      <c r="H72" s="90" t="s">
        <v>285</v>
      </c>
      <c r="I72" s="92" t="s">
        <v>467</v>
      </c>
      <c r="J72" s="88" t="s">
        <v>232</v>
      </c>
      <c r="K72" s="91" t="s">
        <v>468</v>
      </c>
      <c r="L72" s="93" t="s">
        <v>360</v>
      </c>
      <c r="M72" s="89" t="s">
        <v>469</v>
      </c>
    </row>
    <row r="73" customFormat="false" ht="27.75" hidden="false" customHeight="true" outlineLevel="0" collapsed="false">
      <c r="A73" s="86" t="n">
        <v>70</v>
      </c>
      <c r="B73" s="87" t="n">
        <v>1</v>
      </c>
      <c r="C73" s="88" t="n">
        <v>7</v>
      </c>
      <c r="D73" s="89" t="s">
        <v>470</v>
      </c>
      <c r="E73" s="90" t="s">
        <v>470</v>
      </c>
      <c r="F73" s="91" t="s">
        <v>229</v>
      </c>
      <c r="G73" s="88" t="n">
        <v>0</v>
      </c>
      <c r="H73" s="90" t="s">
        <v>285</v>
      </c>
      <c r="I73" s="92" t="s">
        <v>290</v>
      </c>
      <c r="J73" s="88" t="s">
        <v>238</v>
      </c>
      <c r="K73" s="91" t="s">
        <v>471</v>
      </c>
      <c r="L73" s="93" t="s">
        <v>267</v>
      </c>
      <c r="M73" s="89" t="s">
        <v>472</v>
      </c>
    </row>
    <row r="74" customFormat="false" ht="27.75" hidden="false" customHeight="true" outlineLevel="0" collapsed="false">
      <c r="A74" s="86" t="n">
        <v>71</v>
      </c>
      <c r="B74" s="87" t="n">
        <v>0.9</v>
      </c>
      <c r="C74" s="88" t="n">
        <v>8</v>
      </c>
      <c r="D74" s="89" t="s">
        <v>353</v>
      </c>
      <c r="E74" s="90" t="s">
        <v>353</v>
      </c>
      <c r="F74" s="91" t="s">
        <v>229</v>
      </c>
      <c r="G74" s="88" t="n">
        <v>0</v>
      </c>
      <c r="H74" s="90" t="s">
        <v>285</v>
      </c>
      <c r="I74" s="92" t="s">
        <v>473</v>
      </c>
      <c r="J74" s="88" t="s">
        <v>232</v>
      </c>
      <c r="K74" s="91" t="s">
        <v>474</v>
      </c>
      <c r="L74" s="93" t="s">
        <v>267</v>
      </c>
      <c r="M74" s="89" t="s">
        <v>475</v>
      </c>
    </row>
    <row r="75" customFormat="false" ht="27.75" hidden="false" customHeight="true" outlineLevel="0" collapsed="false">
      <c r="A75" s="86" t="n">
        <v>72</v>
      </c>
      <c r="B75" s="87" t="n">
        <v>0.6</v>
      </c>
      <c r="C75" s="88" t="n">
        <v>7</v>
      </c>
      <c r="D75" s="89" t="s">
        <v>407</v>
      </c>
      <c r="E75" s="90" t="s">
        <v>407</v>
      </c>
      <c r="F75" s="91" t="s">
        <v>229</v>
      </c>
      <c r="G75" s="88" t="n">
        <v>0</v>
      </c>
      <c r="H75" s="90" t="s">
        <v>292</v>
      </c>
      <c r="I75" s="92" t="s">
        <v>476</v>
      </c>
      <c r="J75" s="88" t="s">
        <v>232</v>
      </c>
      <c r="K75" s="91" t="s">
        <v>477</v>
      </c>
      <c r="L75" s="93" t="s">
        <v>267</v>
      </c>
      <c r="M75" s="89" t="s">
        <v>478</v>
      </c>
    </row>
    <row r="76" customFormat="false" ht="27.75" hidden="false" customHeight="true" outlineLevel="0" collapsed="false">
      <c r="A76" s="86" t="n">
        <v>73</v>
      </c>
      <c r="B76" s="87" t="n">
        <v>0.3</v>
      </c>
      <c r="C76" s="88" t="n">
        <v>2</v>
      </c>
      <c r="D76" s="89" t="s">
        <v>211</v>
      </c>
      <c r="E76" s="90" t="s">
        <v>479</v>
      </c>
      <c r="F76" s="91" t="s">
        <v>323</v>
      </c>
      <c r="G76" s="88" t="n">
        <v>1.5</v>
      </c>
      <c r="H76" s="90" t="s">
        <v>298</v>
      </c>
      <c r="I76" s="92" t="s">
        <v>480</v>
      </c>
      <c r="J76" s="88" t="s">
        <v>298</v>
      </c>
      <c r="K76" s="91" t="s">
        <v>233</v>
      </c>
      <c r="L76" s="93" t="s">
        <v>464</v>
      </c>
      <c r="M76" s="89" t="s">
        <v>481</v>
      </c>
    </row>
    <row r="77" customFormat="false" ht="27.75" hidden="false" customHeight="true" outlineLevel="0" collapsed="false">
      <c r="A77" s="86" t="n">
        <v>74</v>
      </c>
      <c r="B77" s="87" t="n">
        <v>0.25</v>
      </c>
      <c r="C77" s="88" t="n">
        <v>7</v>
      </c>
      <c r="D77" s="89" t="s">
        <v>333</v>
      </c>
      <c r="E77" s="90" t="s">
        <v>333</v>
      </c>
      <c r="F77" s="91" t="s">
        <v>229</v>
      </c>
      <c r="G77" s="88" t="n">
        <v>0</v>
      </c>
      <c r="H77" s="90" t="s">
        <v>285</v>
      </c>
      <c r="I77" s="92" t="s">
        <v>482</v>
      </c>
      <c r="J77" s="88" t="s">
        <v>238</v>
      </c>
      <c r="K77" s="91" t="s">
        <v>474</v>
      </c>
      <c r="L77" s="93" t="s">
        <v>267</v>
      </c>
      <c r="M77" s="89" t="s">
        <v>483</v>
      </c>
    </row>
    <row r="78" customFormat="false" ht="27.75" hidden="false" customHeight="true" outlineLevel="0" collapsed="false">
      <c r="A78" s="94" t="n">
        <v>75</v>
      </c>
      <c r="B78" s="95" t="n">
        <v>-0.2</v>
      </c>
      <c r="C78" s="96" t="n">
        <v>1</v>
      </c>
      <c r="D78" s="97" t="s">
        <v>407</v>
      </c>
      <c r="E78" s="98" t="s">
        <v>407</v>
      </c>
      <c r="F78" s="99" t="s">
        <v>229</v>
      </c>
      <c r="G78" s="96" t="n">
        <v>0.25</v>
      </c>
      <c r="H78" s="98" t="s">
        <v>298</v>
      </c>
      <c r="I78" s="100" t="s">
        <v>484</v>
      </c>
      <c r="J78" s="96" t="s">
        <v>298</v>
      </c>
      <c r="K78" s="99" t="s">
        <v>262</v>
      </c>
      <c r="L78" s="101" t="s">
        <v>267</v>
      </c>
      <c r="M78" s="97" t="s">
        <v>485</v>
      </c>
    </row>
    <row r="79" customFormat="false" ht="27.75" hidden="false" customHeight="true" outlineLevel="0" collapsed="false">
      <c r="A79" s="94" t="n">
        <v>76</v>
      </c>
      <c r="B79" s="95" t="n">
        <v>-0.4</v>
      </c>
      <c r="C79" s="96" t="n">
        <v>7</v>
      </c>
      <c r="D79" s="97" t="s">
        <v>175</v>
      </c>
      <c r="E79" s="98" t="s">
        <v>175</v>
      </c>
      <c r="F79" s="99" t="s">
        <v>229</v>
      </c>
      <c r="G79" s="96" t="n">
        <v>0</v>
      </c>
      <c r="H79" s="98" t="s">
        <v>265</v>
      </c>
      <c r="I79" s="100" t="s">
        <v>331</v>
      </c>
      <c r="J79" s="96" t="s">
        <v>238</v>
      </c>
      <c r="K79" s="99" t="s">
        <v>461</v>
      </c>
      <c r="L79" s="101" t="s">
        <v>464</v>
      </c>
      <c r="M79" s="97" t="s">
        <v>486</v>
      </c>
    </row>
    <row r="80" customFormat="false" ht="27.75" hidden="false" customHeight="true" outlineLevel="0" collapsed="false">
      <c r="A80" s="94" t="n">
        <v>77</v>
      </c>
      <c r="B80" s="95" t="n">
        <v>-0.75</v>
      </c>
      <c r="C80" s="96" t="n">
        <v>2</v>
      </c>
      <c r="D80" s="97" t="s">
        <v>188</v>
      </c>
      <c r="E80" s="98" t="s">
        <v>188</v>
      </c>
      <c r="F80" s="99" t="s">
        <v>229</v>
      </c>
      <c r="G80" s="96" t="n">
        <v>0</v>
      </c>
      <c r="H80" s="98" t="s">
        <v>487</v>
      </c>
      <c r="I80" s="100" t="s">
        <v>488</v>
      </c>
      <c r="J80" s="96" t="s">
        <v>298</v>
      </c>
      <c r="K80" s="99" t="s">
        <v>372</v>
      </c>
      <c r="L80" s="101" t="s">
        <v>267</v>
      </c>
      <c r="M80" s="97" t="s">
        <v>489</v>
      </c>
    </row>
    <row r="81" customFormat="false" ht="27.75" hidden="false" customHeight="true" outlineLevel="0" collapsed="false">
      <c r="A81" s="94" t="n">
        <v>78</v>
      </c>
      <c r="B81" s="95" t="n">
        <v>-0.75</v>
      </c>
      <c r="C81" s="96" t="n">
        <v>6</v>
      </c>
      <c r="D81" s="97" t="s">
        <v>404</v>
      </c>
      <c r="E81" s="98" t="s">
        <v>404</v>
      </c>
      <c r="F81" s="99" t="s">
        <v>229</v>
      </c>
      <c r="G81" s="96" t="n">
        <v>0</v>
      </c>
      <c r="H81" s="98" t="s">
        <v>490</v>
      </c>
      <c r="I81" s="100" t="s">
        <v>491</v>
      </c>
      <c r="J81" s="96" t="s">
        <v>238</v>
      </c>
      <c r="K81" s="99" t="s">
        <v>492</v>
      </c>
      <c r="L81" s="101" t="s">
        <v>267</v>
      </c>
      <c r="M81" s="97" t="s">
        <v>493</v>
      </c>
    </row>
    <row r="82" customFormat="false" ht="27.75" hidden="false" customHeight="true" outlineLevel="0" collapsed="false">
      <c r="A82" s="94" t="n">
        <v>79</v>
      </c>
      <c r="B82" s="95" t="n">
        <v>-0.75</v>
      </c>
      <c r="C82" s="96" t="n">
        <v>2</v>
      </c>
      <c r="D82" s="97" t="s">
        <v>420</v>
      </c>
      <c r="E82" s="98" t="s">
        <v>420</v>
      </c>
      <c r="F82" s="99" t="s">
        <v>229</v>
      </c>
      <c r="G82" s="96" t="n">
        <v>0</v>
      </c>
      <c r="H82" s="98" t="s">
        <v>298</v>
      </c>
      <c r="I82" s="100" t="s">
        <v>290</v>
      </c>
      <c r="J82" s="96" t="s">
        <v>298</v>
      </c>
      <c r="K82" s="99" t="s">
        <v>310</v>
      </c>
      <c r="L82" s="101" t="s">
        <v>267</v>
      </c>
      <c r="M82" s="97" t="s">
        <v>494</v>
      </c>
    </row>
    <row r="83" customFormat="false" ht="27.75" hidden="false" customHeight="true" outlineLevel="0" collapsed="false">
      <c r="A83" s="94" t="n">
        <v>80</v>
      </c>
      <c r="B83" s="95" t="n">
        <v>-0.75</v>
      </c>
      <c r="C83" s="96" t="n">
        <v>2</v>
      </c>
      <c r="D83" s="97" t="s">
        <v>445</v>
      </c>
      <c r="E83" s="98" t="s">
        <v>445</v>
      </c>
      <c r="F83" s="99" t="s">
        <v>229</v>
      </c>
      <c r="G83" s="96" t="n">
        <v>0</v>
      </c>
      <c r="H83" s="98" t="s">
        <v>446</v>
      </c>
      <c r="I83" s="100" t="s">
        <v>447</v>
      </c>
      <c r="J83" s="96" t="s">
        <v>238</v>
      </c>
      <c r="K83" s="99" t="s">
        <v>394</v>
      </c>
      <c r="L83" s="101" t="s">
        <v>464</v>
      </c>
      <c r="M83" s="97" t="s">
        <v>495</v>
      </c>
    </row>
    <row r="84" customFormat="false" ht="27.75" hidden="false" customHeight="true" outlineLevel="0" collapsed="false">
      <c r="A84" s="94" t="n">
        <v>81</v>
      </c>
      <c r="B84" s="95" t="n">
        <v>-1.75</v>
      </c>
      <c r="C84" s="96" t="n">
        <v>5</v>
      </c>
      <c r="D84" s="97" t="s">
        <v>443</v>
      </c>
      <c r="E84" s="98" t="s">
        <v>443</v>
      </c>
      <c r="F84" s="99" t="s">
        <v>229</v>
      </c>
      <c r="G84" s="96" t="n">
        <v>0</v>
      </c>
      <c r="H84" s="98" t="s">
        <v>328</v>
      </c>
      <c r="I84" s="100" t="s">
        <v>496</v>
      </c>
      <c r="J84" s="96" t="s">
        <v>244</v>
      </c>
      <c r="K84" s="99" t="s">
        <v>497</v>
      </c>
      <c r="L84" s="101" t="s">
        <v>267</v>
      </c>
      <c r="M84" s="97" t="s">
        <v>498</v>
      </c>
    </row>
    <row r="85" customFormat="false" ht="27.75" hidden="false" customHeight="true" outlineLevel="0" collapsed="false">
      <c r="A85" s="94" t="n">
        <v>82</v>
      </c>
      <c r="B85" s="95" t="n">
        <v>-5</v>
      </c>
      <c r="C85" s="96" t="n">
        <v>1</v>
      </c>
      <c r="D85" s="97" t="s">
        <v>499</v>
      </c>
      <c r="E85" s="98" t="s">
        <v>500</v>
      </c>
      <c r="F85" s="99" t="s">
        <v>229</v>
      </c>
      <c r="G85" s="96" t="n">
        <v>0</v>
      </c>
      <c r="H85" s="98" t="s">
        <v>440</v>
      </c>
      <c r="I85" s="100" t="s">
        <v>290</v>
      </c>
      <c r="J85" s="96" t="s">
        <v>238</v>
      </c>
      <c r="K85" s="99" t="s">
        <v>501</v>
      </c>
      <c r="L85" s="101" t="s">
        <v>267</v>
      </c>
      <c r="M85" s="97" t="s">
        <v>502</v>
      </c>
    </row>
    <row r="88" customFormat="false" ht="15" hidden="false" customHeight="false" outlineLevel="0" collapsed="false">
      <c r="A88" s="38" t="s">
        <v>503</v>
      </c>
    </row>
    <row r="89" customFormat="false" ht="15" hidden="false" customHeight="false" outlineLevel="0" collapsed="false">
      <c r="A89" s="102" t="s">
        <v>504</v>
      </c>
      <c r="B89" s="103" t="n">
        <f aca="false">COUNTA(B4:B86)</f>
        <v>82</v>
      </c>
    </row>
    <row r="90" customFormat="false" ht="15" hidden="false" customHeight="false" outlineLevel="0" collapsed="false">
      <c r="A90" s="102" t="s">
        <v>505</v>
      </c>
      <c r="B90" s="103" t="n">
        <f aca="false">ROUND(AVERAGE(B4:B86),2)</f>
        <v>4.33</v>
      </c>
    </row>
    <row r="91" customFormat="false" ht="15" hidden="false" customHeight="false" outlineLevel="0" collapsed="false">
      <c r="A91" s="102" t="s">
        <v>506</v>
      </c>
      <c r="B91" s="103" t="n">
        <f aca="false">ROUND(AVERAGE(C4:C86),2)</f>
        <v>5.8</v>
      </c>
    </row>
    <row r="92" customFormat="false" ht="15" hidden="false" customHeight="false" outlineLevel="0" collapsed="false">
      <c r="A92" s="102" t="s">
        <v>507</v>
      </c>
      <c r="B92" s="103" t="n">
        <f aca="false">COUNTIF(B4:B86,"&gt;="&amp;5)</f>
        <v>36</v>
      </c>
    </row>
    <row r="93" customFormat="false" ht="15" hidden="false" customHeight="false" outlineLevel="0" collapsed="false">
      <c r="A93" s="102" t="s">
        <v>508</v>
      </c>
      <c r="B93" s="103" t="n">
        <f aca="false">COUNTIF(L4:L86,"*Prev shown*")</f>
        <v>5</v>
      </c>
    </row>
    <row r="94" customFormat="false" ht="15" hidden="false" customHeight="false" outlineLevel="0" collapsed="false">
      <c r="A94" s="102" t="s">
        <v>509</v>
      </c>
      <c r="B94" s="103" t="n">
        <f aca="false">COUNTIF(L4:L86,"*Duplicate*")</f>
        <v>4</v>
      </c>
    </row>
    <row r="95" customFormat="false" ht="15" hidden="false" customHeight="false" outlineLevel="0" collapsed="false">
      <c r="A95" s="102" t="s">
        <v>510</v>
      </c>
      <c r="B95" s="103" t="n">
        <f aca="false">COUNTIF(L4:L86,"*Independent*")</f>
        <v>33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2026-03-18T10:44:22Z</dcterms:created>
  <dc:creator>openpyxl</dc:creator>
  <dc:description/>
  <dc:language>en-US</dc:language>
  <cp:lastModifiedBy/>
  <dcterms:modified xsi:type="dcterms:W3CDTF">2026-03-19T09:59:30Z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